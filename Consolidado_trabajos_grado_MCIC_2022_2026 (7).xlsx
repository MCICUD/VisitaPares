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Resumen visita" sheetId="1" state="visible" r:id="rId1"/>
    <sheet xmlns:r="http://schemas.openxmlformats.org/officeDocument/2006/relationships" name="Consolidado" sheetId="2" state="visible" r:id="rId2"/>
    <sheet xmlns:r="http://schemas.openxmlformats.org/officeDocument/2006/relationships" name="Pendientes sustentación" sheetId="3" state="visible" r:id="rId3"/>
    <sheet xmlns:r="http://schemas.openxmlformats.org/officeDocument/2006/relationships" name="Fuentes y calidad" sheetId="4" state="visible" r:id="rId4"/>
  </sheets>
  <definedNames/>
  <calcPr calcId="0" fullCalcOnLoad="1"/>
</workbook>
</file>

<file path=xl/styles.xml><?xml version="1.0" encoding="utf-8"?>
<styleSheet xmlns="http://schemas.openxmlformats.org/spreadsheetml/2006/main">
  <numFmts count="0"/>
  <fonts count="17">
    <font>
      <name val="Carlito"/>
      <sz val="11"/>
    </font>
    <font>
      <name val="Aptos"/>
      <color rgb="FF24313D"/>
      <sz val="10"/>
    </font>
    <font>
      <name val="Aptos Display"/>
      <b val="1"/>
      <color rgb="FFFFFFFF"/>
      <sz val="10"/>
    </font>
    <font>
      <name val="Aptos Display"/>
      <b val="1"/>
      <color rgb="FFFFFFFF"/>
      <sz val="20"/>
    </font>
    <font>
      <name val="Aptos"/>
      <b val="1"/>
      <color rgb="FF24313D"/>
      <sz val="10"/>
    </font>
    <font>
      <name val="Aptos"/>
      <b val="1"/>
      <color rgb="FFFFFFFF"/>
      <sz val="10"/>
    </font>
    <font>
      <name val="Aptos"/>
      <b val="1"/>
      <color rgb="FF7F6000"/>
      <sz val="10"/>
    </font>
    <font>
      <name val="Aptos Display"/>
      <b val="1"/>
      <color rgb="FFFFFFFF"/>
      <sz val="22"/>
    </font>
    <font>
      <name val="Aptos"/>
      <i val="1"/>
      <color rgb="FF24313D"/>
      <sz val="11"/>
    </font>
    <font>
      <name val="Aptos"/>
      <b val="1"/>
      <color rgb="FF1F4E78"/>
      <sz val="10"/>
    </font>
    <font>
      <name val="Aptos Display"/>
      <b val="1"/>
      <color rgb="FF8C1D40"/>
      <sz val="22"/>
    </font>
    <font>
      <name val="Aptos"/>
      <b val="1"/>
      <color rgb="FF24313D"/>
      <sz val="11"/>
    </font>
    <font>
      <name val="Aptos Display"/>
      <b val="1"/>
      <color rgb="FFFFFFFF"/>
      <sz val="12"/>
    </font>
    <font>
      <name val="Carlito"/>
      <b val="1"/>
      <color rgb="FF24313D"/>
      <sz val="11"/>
    </font>
    <font>
      <name val="Carlito"/>
      <color rgb="FFFFFFFF"/>
      <sz val="11"/>
    </font>
    <font>
      <name val="Aptos Display"/>
      <b val="1"/>
      <color rgb="FFFFFFFF"/>
      <sz val="18"/>
    </font>
    <font>
      <name val="Carlito"/>
      <b val="1"/>
      <color rgb="FFFFFFFF"/>
      <sz val="11"/>
    </font>
  </fonts>
  <fills count="11">
    <fill>
      <patternFill/>
    </fill>
    <fill>
      <patternFill patternType="gray125"/>
    </fill>
    <fill>
      <patternFill patternType="solid">
        <fgColor rgb="FF1F4E78"/>
      </patternFill>
    </fill>
    <fill>
      <patternFill patternType="solid">
        <fgColor rgb="FF8C1D40"/>
      </patternFill>
    </fill>
    <fill>
      <patternFill patternType="solid">
        <fgColor rgb="FFF7F0E1"/>
      </patternFill>
    </fill>
    <fill>
      <patternFill patternType="solid">
        <fgColor rgb="FFFFF2CC"/>
      </patternFill>
    </fill>
    <fill>
      <patternFill patternType="solid">
        <fgColor rgb="FFEAF2F8"/>
      </patternFill>
    </fill>
    <fill>
      <patternFill patternType="solid">
        <fgColor rgb="FFD9EAF4"/>
      </patternFill>
    </fill>
    <fill>
      <patternFill patternType="solid">
        <fgColor rgb="FFF3F4F6"/>
      </patternFill>
    </fill>
    <fill>
      <patternFill patternType="solid">
        <fgColor rgb="FFFFFFFF"/>
      </patternFill>
    </fill>
    <fill>
      <patternFill patternType="solid">
        <fgColor rgb="FFD6A84B"/>
      </patternFill>
    </fill>
  </fills>
  <borders count="20">
    <border>
      <left/>
      <right/>
      <top/>
      <bottom/>
      <diagonal/>
    </border>
    <border>
      <left style="thin">
        <color rgb="FFD9DEE3"/>
      </left>
      <right/>
      <top style="thin">
        <color rgb="FFD9DEE3"/>
      </top>
      <bottom/>
      <diagonal/>
    </border>
    <border>
      <left/>
      <right style="thin">
        <color rgb="FFD9DEE3"/>
      </right>
      <top style="thin">
        <color rgb="FFD9DEE3"/>
      </top>
      <bottom/>
      <diagonal/>
    </border>
    <border>
      <left style="thin">
        <color rgb="FFD9DEE3"/>
      </left>
      <right/>
      <top/>
      <bottom/>
      <diagonal/>
    </border>
    <border>
      <left/>
      <right style="thin">
        <color rgb="FFD9DEE3"/>
      </right>
      <top/>
      <bottom/>
      <diagonal/>
    </border>
    <border>
      <left style="thin">
        <color rgb="FFD9DEE3"/>
      </left>
      <right/>
      <top/>
      <bottom style="thin">
        <color rgb="FFD9DEE3"/>
      </bottom>
      <diagonal/>
    </border>
    <border>
      <left/>
      <right style="thin">
        <color rgb="FFD9DEE3"/>
      </right>
      <top/>
      <bottom style="thin">
        <color rgb="FFD9DEE3"/>
      </bottom>
      <diagonal/>
    </border>
    <border>
      <left style="thin">
        <color rgb="FFD6A84B"/>
      </left>
      <right/>
      <top style="thin">
        <color rgb="FFD6A84B"/>
      </top>
      <bottom/>
      <diagonal/>
    </border>
    <border>
      <left/>
      <right/>
      <top style="thin">
        <color rgb="FFD6A84B"/>
      </top>
      <bottom/>
      <diagonal/>
    </border>
    <border>
      <left/>
      <right style="thin">
        <color rgb="FFD6A84B"/>
      </right>
      <top style="thin">
        <color rgb="FFD6A84B"/>
      </top>
      <bottom/>
      <diagonal/>
    </border>
    <border>
      <left style="thin">
        <color rgb="FFD6A84B"/>
      </left>
      <right/>
      <top/>
      <bottom style="thin">
        <color rgb="FFD6A84B"/>
      </bottom>
      <diagonal/>
    </border>
    <border>
      <left/>
      <right/>
      <top/>
      <bottom style="thin">
        <color rgb="FFD6A84B"/>
      </bottom>
      <diagonal/>
    </border>
    <border>
      <left/>
      <right style="thin">
        <color rgb="FFD6A84B"/>
      </right>
      <top/>
      <bottom style="thin">
        <color rgb="FFD6A84B"/>
      </bottom>
      <diagonal/>
    </border>
    <border>
      <left style="thin">
        <color rgb="FFD9DEE3"/>
      </left>
      <right style="thin">
        <color rgb="FFD9DEE3"/>
      </right>
      <top style="thin">
        <color rgb="FFD9DEE3"/>
      </top>
      <bottom style="thin">
        <color rgb="FFD9DEE3"/>
      </bottom>
      <diagonal/>
    </border>
    <border>
      <left style="thin">
        <color rgb="FFD6A84B"/>
      </left>
      <right style="thin">
        <color rgb="FFD6A84B"/>
      </right>
      <top style="thin">
        <color rgb="FFD6A84B"/>
      </top>
      <bottom style="thin">
        <color rgb="FFD6A84B"/>
      </bottom>
      <diagonal/>
    </border>
    <border>
      <left style="thin">
        <color rgb="FFD6A84B"/>
      </left>
      <right/>
      <top/>
      <bottom/>
      <diagonal/>
    </border>
    <border>
      <left/>
      <right style="thin">
        <color rgb="FFD6A84B"/>
      </right>
      <top/>
      <bottom/>
      <diagonal/>
    </border>
    <border>
      <left style="thin">
        <color rgb="FFD9DEE3"/>
      </left>
      <right style="thin">
        <color rgb="FFD9DEE3"/>
      </right>
      <top style="thin">
        <color rgb="FFD9DEE3"/>
      </top>
      <bottom/>
      <diagonal/>
    </border>
    <border>
      <left/>
      <right/>
      <top style="thin">
        <color rgb="FFD9DEE3"/>
      </top>
      <bottom/>
      <diagonal/>
    </border>
    <border>
      <left style="thin">
        <color rgb="FFD9DEE3"/>
      </left>
      <right style="thin">
        <color rgb="FFD9DEE3"/>
      </right>
      <top/>
      <bottom style="thin">
        <color rgb="FFD9DEE3"/>
      </bottom>
      <diagonal/>
    </border>
  </borders>
  <cellStyleXfs count="1">
    <xf numFmtId="0" fontId="0" fillId="0" borderId="0"/>
  </cellStyleXfs>
  <cellXfs count="49">
    <xf numFmtId="0" fontId="0" fillId="0" borderId="0" pivotButton="0" quotePrefix="0" xfId="0"/>
    <xf numFmtId="0" fontId="2" fillId="2" borderId="0" pivotButton="0" quotePrefix="0" xfId="0"/>
    <xf numFmtId="0" fontId="1" fillId="0" borderId="0" applyAlignment="1" pivotButton="0" quotePrefix="0" xfId="0">
      <alignment vertical="top"/>
    </xf>
    <xf numFmtId="0" fontId="1" fillId="0" borderId="0" applyAlignment="1" pivotButton="0" quotePrefix="0" xfId="0">
      <alignment vertical="top" wrapText="1"/>
    </xf>
    <xf numFmtId="1" fontId="1" fillId="0" borderId="0" applyAlignment="1" pivotButton="0" quotePrefix="0" xfId="0">
      <alignment vertical="top" wrapText="1"/>
    </xf>
    <xf numFmtId="0" fontId="5" fillId="2" borderId="0" pivotButton="0" quotePrefix="0" xfId="0"/>
    <xf numFmtId="0" fontId="6" fillId="5" borderId="0" applyAlignment="1" pivotButton="0" quotePrefix="0" xfId="0">
      <alignment vertical="top" wrapText="1"/>
    </xf>
    <xf numFmtId="0" fontId="9" fillId="7" borderId="0" pivotButton="0" quotePrefix="0" xfId="0"/>
    <xf numFmtId="0" fontId="0" fillId="0" borderId="13" pivotButton="0" quotePrefix="0" xfId="0"/>
    <xf numFmtId="0" fontId="13" fillId="8" borderId="13" pivotButton="0" quotePrefix="0" xfId="0"/>
    <xf numFmtId="0" fontId="9" fillId="7" borderId="0" applyAlignment="1" pivotButton="0" quotePrefix="0" xfId="0">
      <alignment horizontal="center"/>
    </xf>
    <xf numFmtId="0" fontId="0" fillId="0" borderId="13" applyAlignment="1" pivotButton="0" quotePrefix="0" xfId="0">
      <alignment horizontal="center"/>
    </xf>
    <xf numFmtId="0" fontId="13" fillId="8" borderId="13" applyAlignment="1" pivotButton="0" quotePrefix="0" xfId="0">
      <alignment horizontal="center"/>
    </xf>
    <xf numFmtId="0" fontId="14" fillId="9" borderId="0" pivotButton="0" quotePrefix="0" xfId="0"/>
    <xf numFmtId="0" fontId="16" fillId="2" borderId="13" pivotButton="0" quotePrefix="0" xfId="0"/>
    <xf numFmtId="0" fontId="0" fillId="0" borderId="13" applyAlignment="1" pivotButton="0" quotePrefix="0" xfId="0">
      <alignment wrapText="1"/>
    </xf>
    <xf numFmtId="0" fontId="13" fillId="10" borderId="13" pivotButton="0" quotePrefix="0" xfId="0"/>
    <xf numFmtId="0" fontId="7" fillId="3" borderId="0" applyAlignment="1" pivotButton="0" quotePrefix="0" xfId="0">
      <alignment vertical="center"/>
    </xf>
    <xf numFmtId="0" fontId="8" fillId="0" borderId="0" pivotButton="0" quotePrefix="0" xfId="0"/>
    <xf numFmtId="0" fontId="9" fillId="6" borderId="1" applyAlignment="1" pivotButton="0" quotePrefix="0" xfId="0">
      <alignment horizontal="center"/>
    </xf>
    <xf numFmtId="0" fontId="9" fillId="6" borderId="2" applyAlignment="1" pivotButton="0" quotePrefix="0" xfId="0">
      <alignment horizontal="center"/>
    </xf>
    <xf numFmtId="0" fontId="10" fillId="0" borderId="3" applyAlignment="1" pivotButton="0" quotePrefix="0" xfId="0">
      <alignment horizontal="center"/>
    </xf>
    <xf numFmtId="0" fontId="10" fillId="0" borderId="4" applyAlignment="1" pivotButton="0" quotePrefix="0" xfId="0">
      <alignment horizontal="center"/>
    </xf>
    <xf numFmtId="0" fontId="10" fillId="0" borderId="5" applyAlignment="1" pivotButton="0" quotePrefix="0" xfId="0">
      <alignment horizontal="center"/>
    </xf>
    <xf numFmtId="0" fontId="10" fillId="0" borderId="6" applyAlignment="1" pivotButton="0" quotePrefix="0" xfId="0">
      <alignment horizontal="center"/>
    </xf>
    <xf numFmtId="0" fontId="11" fillId="4" borderId="7" applyAlignment="1" pivotButton="0" quotePrefix="0" xfId="0">
      <alignment vertical="center" wrapText="1"/>
    </xf>
    <xf numFmtId="0" fontId="11" fillId="4" borderId="8" applyAlignment="1" pivotButton="0" quotePrefix="0" xfId="0">
      <alignment vertical="center" wrapText="1"/>
    </xf>
    <xf numFmtId="0" fontId="11" fillId="4" borderId="9" applyAlignment="1" pivotButton="0" quotePrefix="0" xfId="0">
      <alignment vertical="center" wrapText="1"/>
    </xf>
    <xf numFmtId="0" fontId="11" fillId="4" borderId="10" applyAlignment="1" pivotButton="0" quotePrefix="0" xfId="0">
      <alignment vertical="center" wrapText="1"/>
    </xf>
    <xf numFmtId="0" fontId="11" fillId="4" borderId="11" applyAlignment="1" pivotButton="0" quotePrefix="0" xfId="0">
      <alignment vertical="center" wrapText="1"/>
    </xf>
    <xf numFmtId="0" fontId="11" fillId="4" borderId="12" applyAlignment="1" pivotButton="0" quotePrefix="0" xfId="0">
      <alignment vertical="center" wrapText="1"/>
    </xf>
    <xf numFmtId="0" fontId="12" fillId="2" borderId="0" pivotButton="0" quotePrefix="0" xfId="0"/>
    <xf numFmtId="0" fontId="0" fillId="8" borderId="0" applyAlignment="1" pivotButton="0" quotePrefix="0" xfId="0">
      <alignment vertical="center" wrapText="1"/>
    </xf>
    <xf numFmtId="0" fontId="3" fillId="3" borderId="0" applyAlignment="1" pivotButton="0" quotePrefix="0" xfId="0">
      <alignment vertical="center"/>
    </xf>
    <xf numFmtId="0" fontId="4" fillId="4" borderId="0" applyAlignment="1" pivotButton="0" quotePrefix="0" xfId="0">
      <alignment wrapText="1"/>
    </xf>
    <xf numFmtId="0" fontId="15" fillId="3" borderId="0" pivotButton="0" quotePrefix="0" xfId="0"/>
    <xf numFmtId="0" fontId="0" fillId="4" borderId="0" applyAlignment="1" pivotButton="0" quotePrefix="0" xfId="0">
      <alignment vertical="center" wrapText="1"/>
    </xf>
    <xf numFmtId="0" fontId="9" fillId="6" borderId="17" applyAlignment="1" pivotButton="0" quotePrefix="0" xfId="0">
      <alignment horizontal="center"/>
    </xf>
    <xf numFmtId="0" fontId="0" fillId="0" borderId="2" pivotButton="0" quotePrefix="0" xfId="0"/>
    <xf numFmtId="0" fontId="10" fillId="0" borderId="19" applyAlignment="1" pivotButton="0" quotePrefix="0" xfId="0">
      <alignment horizontal="center"/>
    </xf>
    <xf numFmtId="0" fontId="0" fillId="0" borderId="4" pivotButton="0" quotePrefix="0" xfId="0"/>
    <xf numFmtId="0" fontId="0" fillId="0" borderId="5" pivotButton="0" quotePrefix="0" xfId="0"/>
    <xf numFmtId="0" fontId="0" fillId="0" borderId="6" pivotButton="0" quotePrefix="0" xfId="0"/>
    <xf numFmtId="0" fontId="11" fillId="4" borderId="14"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cellXfs>
  <cellStyles count="1">
    <cellStyle name="Normal" xfId="0" builtinId="0"/>
  </cellStyles>
  <dxfs count="1">
    <dxf>
      <font>
        <b val="1"/>
        <color rgb="FF7F6000"/>
      </font>
      <fill>
        <patternFill patternType="solid">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a:t>Trabajos por año y estado</a:t>
            </a:r>
          </a:p>
        </rich>
      </tx>
      <overlay val="0"/>
    </title>
    <plotArea>
      <layout/>
      <barChart>
        <barDir val="col"/>
        <grouping val="clustered"/>
        <varyColors val="0"/>
        <ser>
          <idx val="0"/>
          <order val="0"/>
          <tx>
            <v>Sustentados</v>
          </tx>
          <spPr>
            <a:solidFill xmlns:a="http://schemas.openxmlformats.org/drawingml/2006/main">
              <a:srgbClr val="8C1D40"/>
            </a:solidFill>
            <a:ln xmlns:a="http://schemas.openxmlformats.org/drawingml/2006/main">
              <a:prstDash val="solid"/>
            </a:ln>
          </spPr>
          <invertIfNegative val="1"/>
          <cat>
            <numRef>
              <f>'Resumen visita'!$K$3:$K$7</f>
              <numCache>
                <formatCode>General</formatCode>
                <ptCount val="5"/>
                <pt idx="0">
                  <v>2022</v>
                </pt>
                <pt idx="1">
                  <v>2023</v>
                </pt>
                <pt idx="2">
                  <v>2024</v>
                </pt>
                <pt idx="3">
                  <v>2025</v>
                </pt>
                <pt idx="4">
                  <v>2026</v>
                </pt>
              </numCache>
            </numRef>
          </cat>
          <val>
            <numRef>
              <f>'Resumen visita'!$L$3:$L$7</f>
              <numCache>
                <formatCode>General</formatCode>
                <ptCount val="5"/>
                <pt idx="0">
                  <v>33</v>
                </pt>
                <pt idx="1">
                  <v>28</v>
                </pt>
                <pt idx="2">
                  <v>23</v>
                </pt>
                <pt idx="3">
                  <v>24</v>
                </pt>
                <pt idx="4">
                  <v>26</v>
                </pt>
              </numCache>
            </numRef>
          </val>
        </ser>
        <ser>
          <idx val="1"/>
          <order val="1"/>
          <tx>
            <v>No sustentados</v>
          </tx>
          <spPr>
            <a:solidFill xmlns:a="http://schemas.openxmlformats.org/drawingml/2006/main">
              <a:srgbClr val="D6A84B"/>
            </a:solidFill>
            <a:ln xmlns:a="http://schemas.openxmlformats.org/drawingml/2006/main">
              <a:prstDash val="solid"/>
            </a:ln>
          </spPr>
          <invertIfNegative val="1"/>
          <cat>
            <numRef>
              <f>'Resumen visita'!$K$3:$K$7</f>
              <numCache>
                <formatCode>General</formatCode>
                <ptCount val="5"/>
                <pt idx="0">
                  <v>2022</v>
                </pt>
                <pt idx="1">
                  <v>2023</v>
                </pt>
                <pt idx="2">
                  <v>2024</v>
                </pt>
                <pt idx="3">
                  <v>2025</v>
                </pt>
                <pt idx="4">
                  <v>2026</v>
                </pt>
              </numCache>
            </numRef>
          </cat>
          <val>
            <numRef>
              <f>'Resumen visita'!$M$3:$M$7</f>
              <numCache>
                <formatCode>General</formatCode>
                <ptCount val="5"/>
                <pt idx="0">
                  <v>0</v>
                </pt>
                <pt idx="1">
                  <v>1</v>
                </pt>
                <pt idx="2">
                  <v>1</v>
                </pt>
                <pt idx="3">
                  <v>1</v>
                </pt>
                <pt idx="4">
                  <v>13</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1"/>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a:t>10 grupos con mayor número de casos</a:t>
            </a:r>
          </a:p>
        </rich>
      </tx>
      <overlay val="0"/>
    </title>
    <plotArea>
      <layout/>
      <barChart>
        <barDir val="col"/>
        <grouping val="clustered"/>
        <varyColors val="0"/>
        <ser>
          <idx val="0"/>
          <order val="0"/>
          <tx>
            <v>Sustentados</v>
          </tx>
          <spPr>
            <a:solidFill xmlns:a="http://schemas.openxmlformats.org/drawingml/2006/main">
              <a:srgbClr val="1F4E78"/>
            </a:solidFill>
            <a:ln xmlns:a="http://schemas.openxmlformats.org/drawingml/2006/main">
              <a:prstDash val="solid"/>
            </a:ln>
          </spPr>
          <invertIfNegative val="1"/>
          <cat>
            <strRef>
              <f>'Resumen visita'!$K$11:$K$20</f>
              <strCache>
                <ptCount val="10"/>
                <pt idx="0">
                  <v>NIDE</v>
                </pt>
                <pt idx="1">
                  <v>GEFEM</v>
                </pt>
                <pt idx="2">
                  <v>Internet Inteligente</v>
                </pt>
                <pt idx="3">
                  <v>LIDER</v>
                </pt>
                <pt idx="4">
                  <v>GICOGE</v>
                </pt>
                <pt idx="5">
                  <v>GITEM</v>
                </pt>
                <pt idx="6">
                  <v>GIIRA</v>
                </pt>
                <pt idx="7">
                  <v>GRECO</v>
                </pt>
                <pt idx="8">
                  <v>Multimedia y Animación</v>
                </pt>
                <pt idx="9">
                  <v>GITUD</v>
                </pt>
              </strCache>
            </strRef>
          </cat>
          <val>
            <numRef>
              <f>'Resumen visita'!$L$11:$L$20</f>
              <numCache>
                <formatCode>General</formatCode>
                <ptCount val="10"/>
                <pt idx="0">
                  <v>19</v>
                </pt>
                <pt idx="1">
                  <v>19</v>
                </pt>
                <pt idx="2">
                  <v>10</v>
                </pt>
                <pt idx="3">
                  <v>5</v>
                </pt>
                <pt idx="4">
                  <v>8</v>
                </pt>
                <pt idx="5">
                  <v>8</v>
                </pt>
                <pt idx="6">
                  <v>8</v>
                </pt>
                <pt idx="7">
                  <v>8</v>
                </pt>
                <pt idx="8">
                  <v>8</v>
                </pt>
                <pt idx="9">
                  <v>7</v>
                </pt>
              </numCache>
            </numRef>
          </val>
        </ser>
        <ser>
          <idx val="1"/>
          <order val="1"/>
          <tx>
            <v>No sustentados</v>
          </tx>
          <spPr>
            <a:solidFill xmlns:a="http://schemas.openxmlformats.org/drawingml/2006/main">
              <a:srgbClr val="D6A84B"/>
            </a:solidFill>
            <a:ln xmlns:a="http://schemas.openxmlformats.org/drawingml/2006/main">
              <a:prstDash val="solid"/>
            </a:ln>
          </spPr>
          <invertIfNegative val="1"/>
          <cat>
            <strRef>
              <f>'Resumen visita'!$K$11:$K$20</f>
              <strCache>
                <ptCount val="10"/>
                <pt idx="0">
                  <v>NIDE</v>
                </pt>
                <pt idx="1">
                  <v>GEFEM</v>
                </pt>
                <pt idx="2">
                  <v>Internet Inteligente</v>
                </pt>
                <pt idx="3">
                  <v>LIDER</v>
                </pt>
                <pt idx="4">
                  <v>GICOGE</v>
                </pt>
                <pt idx="5">
                  <v>GITEM</v>
                </pt>
                <pt idx="6">
                  <v>GIIRA</v>
                </pt>
                <pt idx="7">
                  <v>GRECO</v>
                </pt>
                <pt idx="8">
                  <v>Multimedia y Animación</v>
                </pt>
                <pt idx="9">
                  <v>GITUD</v>
                </pt>
              </strCache>
            </strRef>
          </cat>
          <val>
            <numRef>
              <f>'Resumen visita'!$M$11:$M$20</f>
              <numCache>
                <formatCode>General</formatCode>
                <ptCount val="10"/>
                <pt idx="0">
                  <v>5</v>
                </pt>
                <pt idx="1">
                  <v>0</v>
                </pt>
                <pt idx="2">
                  <v>0</v>
                </pt>
                <pt idx="3">
                  <v>5</v>
                </pt>
                <pt idx="4">
                  <v>1</v>
                </pt>
                <pt idx="5">
                  <v>1</v>
                </pt>
                <pt idx="6">
                  <v>0</v>
                </pt>
                <pt idx="7">
                  <v>0</v>
                </pt>
                <pt idx="8">
                  <v>0</v>
                </pt>
                <pt idx="9">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1"/>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10</col>
      <colOff>0</colOff>
      <row>1</row>
      <rowOff>0</rowOff>
    </from>
    <to>
      <col>18</col>
      <colOff>0</colOff>
      <row>10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0</colOff>
      <row>11</row>
      <rowOff>0</rowOff>
    </from>
    <to>
      <col>18</col>
      <colOff>0</colOff>
      <row>30</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rabajosConsolidados" displayName="TrabajosConsolidados" ref="A1:M151" headerRowCount="1" totalsRowShown="0">
  <autoFilter ref="A1:M151"/>
  <tableColumns count="13">
    <tableColumn id="1" name="ID"/>
    <tableColumn id="2" name="Código"/>
    <tableColumn id="3" name="Grupo de investigación"/>
    <tableColumn id="4" name="Título del trabajo de grado"/>
    <tableColumn id="5" name="Año"/>
    <tableColumn id="6" name="Modalidad"/>
    <tableColumn id="7" name="Director(es)"/>
    <tableColumn id="8" name="Estudiante(s)"/>
    <tableColumn id="9" name="Fecha / soporte de finalización"/>
    <tableColumn id="10" name="Enlace RIUD"/>
    <tableColumn id="11" name="Archivo fuente"/>
    <tableColumn id="12" name="Estado de sustentación"/>
    <tableColumn id="13" name="Observación de cruce"/>
  </tableColumns>
  <tableStyleInfo name="TableStyleMedium2" showFirstColumn="0" showLastColumn="0" showRowStripes="1" showColumnStripes="0"/>
</table>
</file>

<file path=xl/tables/table2.xml><?xml version="1.0" encoding="utf-8"?>
<table xmlns="http://schemas.openxmlformats.org/spreadsheetml/2006/main" id="2" name="TrabajosPendientes" displayName="TrabajosPendientes" ref="A5:M21" headerRowCount="1" totalsRowShown="0">
  <tableColumns count="13">
    <tableColumn id="1" name="ID"/>
    <tableColumn id="2" name="Código"/>
    <tableColumn id="3" name="Grupo de investigación"/>
    <tableColumn id="4" name="Título del trabajo de grado"/>
    <tableColumn id="5" name="Año"/>
    <tableColumn id="6" name="Modalidad"/>
    <tableColumn id="7" name="Director(es)"/>
    <tableColumn id="8" name="Estudiante(s)"/>
    <tableColumn id="9" name="Fecha / soporte de finalización"/>
    <tableColumn id="10" name="Enlace RIUD"/>
    <tableColumn id="11" name="Archivo fuente"/>
    <tableColumn id="12" name="Estado de sustentación"/>
    <tableColumn id="13" name="Observación de cruce"/>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8C1D40"/>
    <outlinePr summaryBelow="1" summaryRight="1"/>
    <pageSetUpPr/>
  </sheetPr>
  <dimension ref="A1:M42"/>
  <sheetViews>
    <sheetView showGridLines="0" tabSelected="1" workbookViewId="0">
      <pane ySplit="3" topLeftCell="A4" activePane="bottomLeft" state="frozen"/>
      <selection pane="bottomLeft" activeCell="G15" sqref="G15"/>
    </sheetView>
  </sheetViews>
  <sheetFormatPr baseColWidth="10" defaultColWidth="9" defaultRowHeight="14.25"/>
  <cols>
    <col width="39" customWidth="1" min="1" max="1"/>
    <col width="11" customWidth="1" min="2" max="6"/>
    <col width="14" customWidth="1" min="7" max="7"/>
    <col width="12.75" bestFit="1" customWidth="1" min="8" max="8"/>
    <col width="10" customWidth="1" min="9" max="9"/>
    <col width="4" customWidth="1" min="10" max="10"/>
    <col width="12" customWidth="1" min="11" max="18"/>
  </cols>
  <sheetData>
    <row r="1">
      <c r="A1" s="17" t="inlineStr">
        <is>
          <t>Trabajos de grado vinculados con grupos de investigación</t>
        </is>
      </c>
    </row>
    <row r="2">
      <c r="K2" s="13" t="inlineStr">
        <is>
          <t>Año</t>
        </is>
      </c>
      <c r="L2" s="13" t="inlineStr">
        <is>
          <t>Sustentados</t>
        </is>
      </c>
      <c r="M2" s="13" t="inlineStr">
        <is>
          <t>No sustentados</t>
        </is>
      </c>
    </row>
    <row r="3">
      <c r="A3" s="18" t="inlineStr">
        <is>
          <t>Maestría en Ciencias de la Información y las Comunicaciones | Consolidado 2022–2026</t>
        </is>
      </c>
      <c r="K3" s="13" t="n">
        <v>2022</v>
      </c>
      <c r="L3" s="13" t="n">
        <v>32</v>
      </c>
      <c r="M3" s="13" t="n">
        <v>0</v>
      </c>
    </row>
    <row r="4">
      <c r="K4" s="13" t="n">
        <v>2023</v>
      </c>
      <c r="L4" s="13" t="n">
        <v>27</v>
      </c>
      <c r="M4" s="13" t="n">
        <v>0</v>
      </c>
    </row>
    <row r="5">
      <c r="A5" s="37" t="inlineStr">
        <is>
          <t>Casos consolidados</t>
        </is>
      </c>
      <c r="B5" s="38" t="n"/>
      <c r="C5" s="37" t="inlineStr">
        <is>
          <t>Trabajos sustentados</t>
        </is>
      </c>
      <c r="D5" s="38" t="n"/>
      <c r="E5" s="37" t="inlineStr">
        <is>
          <t>Pendientes / sin verificación</t>
        </is>
      </c>
      <c r="F5" s="38" t="n"/>
      <c r="G5" s="37" t="inlineStr">
        <is>
          <t>Grupos identificados</t>
        </is>
      </c>
      <c r="H5" s="38" t="n"/>
      <c r="K5" s="13" t="n">
        <v>2024</v>
      </c>
      <c r="L5" s="13" t="n">
        <v>24</v>
      </c>
      <c r="M5" s="13" t="n">
        <v>1</v>
      </c>
    </row>
    <row r="6">
      <c r="A6" s="39" t="n">
        <v>148</v>
      </c>
      <c r="B6" s="40" t="n"/>
      <c r="C6" s="39" t="n">
        <v>133</v>
      </c>
      <c r="D6" s="40" t="n"/>
      <c r="E6" s="39" t="n">
        <v>15</v>
      </c>
      <c r="F6" s="40" t="n"/>
      <c r="G6" s="39" t="n">
        <v>25</v>
      </c>
      <c r="H6" s="40" t="n"/>
      <c r="K6" s="13" t="n">
        <v>2025</v>
      </c>
      <c r="L6" s="13" t="n">
        <v>24</v>
      </c>
      <c r="M6" s="13" t="n">
        <v>1</v>
      </c>
    </row>
    <row r="7">
      <c r="A7" s="41" t="n"/>
      <c r="B7" s="42" t="n"/>
      <c r="C7" s="41" t="n"/>
      <c r="D7" s="42" t="n"/>
      <c r="E7" s="41" t="n"/>
      <c r="F7" s="42" t="n"/>
      <c r="G7" s="41" t="n"/>
      <c r="H7" s="42" t="n"/>
      <c r="K7" s="13" t="n">
        <v>2026</v>
      </c>
      <c r="L7" s="13" t="n">
        <v>26</v>
      </c>
      <c r="M7" s="13" t="n">
        <v>13</v>
      </c>
    </row>
    <row r="8">
      <c r="K8" s="13" t="n"/>
      <c r="L8" s="13" t="n"/>
      <c r="M8" s="13" t="n"/>
    </row>
    <row r="9">
      <c r="A9" s="43" t="inlineStr">
        <is>
          <t>La base reúne 148 casos: 133 trabajos sustentados y 15 casos programados, radicados o avalados sin sustentación efectiva verificada. Los gráficos y la matriz contabilizan ambas categorías; en los casos no sustentados, el año corresponde a la programación, radicación o aval reportado.</t>
        </is>
      </c>
      <c r="B9" s="44" t="n"/>
      <c r="C9" s="44" t="n"/>
      <c r="D9" s="44" t="n"/>
      <c r="E9" s="44" t="n"/>
      <c r="F9" s="44" t="n"/>
      <c r="G9" s="44" t="n"/>
      <c r="H9" s="45" t="n"/>
      <c r="K9" s="13" t="n"/>
      <c r="L9" s="13" t="n"/>
      <c r="M9" s="13" t="n"/>
    </row>
    <row r="10">
      <c r="A10" s="46" t="n"/>
      <c r="B10" s="47" t="n"/>
      <c r="C10" s="47" t="n"/>
      <c r="D10" s="47" t="n"/>
      <c r="E10" s="47" t="n"/>
      <c r="F10" s="47" t="n"/>
      <c r="G10" s="47" t="n"/>
      <c r="H10" s="48" t="n"/>
      <c r="K10" s="13" t="inlineStr">
        <is>
          <t>Grupo</t>
        </is>
      </c>
      <c r="L10" s="13" t="inlineStr">
        <is>
          <t>Sustentados</t>
        </is>
      </c>
      <c r="M10" s="13" t="inlineStr">
        <is>
          <t>No sustentados</t>
        </is>
      </c>
    </row>
    <row r="11">
      <c r="K11" s="13" t="inlineStr">
        <is>
          <t>NIDE</t>
        </is>
      </c>
      <c r="L11" s="13" t="n">
        <v>21</v>
      </c>
      <c r="M11" s="13" t="n">
        <v>5</v>
      </c>
    </row>
    <row r="12" ht="15.75" customHeight="1">
      <c r="A12" s="31" t="inlineStr">
        <is>
          <t>Distribución de los 25 grupos identificados por año y estado</t>
        </is>
      </c>
      <c r="K12" s="13" t="inlineStr">
        <is>
          <t>GEFEM</t>
        </is>
      </c>
      <c r="L12" s="13" t="n">
        <v>19</v>
      </c>
      <c r="M12" s="13" t="n">
        <v>0</v>
      </c>
    </row>
    <row r="13">
      <c r="A13" s="7" t="inlineStr">
        <is>
          <t>Grupo</t>
        </is>
      </c>
      <c r="B13" s="10" t="n">
        <v>2022</v>
      </c>
      <c r="C13" s="10" t="n">
        <v>2023</v>
      </c>
      <c r="D13" s="10" t="n">
        <v>2024</v>
      </c>
      <c r="E13" s="10" t="n">
        <v>2025</v>
      </c>
      <c r="F13" s="10" t="n">
        <v>2026</v>
      </c>
      <c r="G13" s="10" t="inlineStr">
        <is>
          <t>Sustentados</t>
        </is>
      </c>
      <c r="H13" s="7" t="inlineStr">
        <is>
          <t>No sustentados</t>
        </is>
      </c>
      <c r="I13" s="7" t="inlineStr">
        <is>
          <t>Total</t>
        </is>
      </c>
      <c r="K13" s="13" t="inlineStr">
        <is>
          <t>Internet Inteligente</t>
        </is>
      </c>
      <c r="L13" s="13" t="n">
        <v>10</v>
      </c>
      <c r="M13" s="13" t="n">
        <v>0</v>
      </c>
    </row>
    <row r="14">
      <c r="A14" s="8" t="inlineStr">
        <is>
          <t>NIDE</t>
        </is>
      </c>
      <c r="B14" s="11" t="n">
        <v>9</v>
      </c>
      <c r="C14" s="11" t="n">
        <v>3</v>
      </c>
      <c r="D14" s="11" t="n">
        <v>2</v>
      </c>
      <c r="E14" s="11" t="n">
        <v>5</v>
      </c>
      <c r="F14" s="11" t="n">
        <v>7</v>
      </c>
      <c r="G14" s="11" t="n">
        <v>21</v>
      </c>
      <c r="H14" s="8" t="n">
        <v>5</v>
      </c>
      <c r="I14" s="8" t="n">
        <v>26</v>
      </c>
      <c r="K14" s="13" t="inlineStr">
        <is>
          <t>GITEM</t>
        </is>
      </c>
      <c r="L14" s="13" t="n">
        <v>8</v>
      </c>
      <c r="M14" s="13" t="n">
        <v>2</v>
      </c>
    </row>
    <row r="15">
      <c r="A15" s="8" t="inlineStr">
        <is>
          <t>GEFEM</t>
        </is>
      </c>
      <c r="B15" s="11" t="n">
        <v>7</v>
      </c>
      <c r="C15" s="11" t="n">
        <v>3</v>
      </c>
      <c r="D15" s="11" t="n">
        <v>4</v>
      </c>
      <c r="E15" s="11" t="n">
        <v>2</v>
      </c>
      <c r="F15" s="11" t="n">
        <v>3</v>
      </c>
      <c r="G15" s="11" t="n">
        <v>19</v>
      </c>
      <c r="H15" s="8" t="n">
        <v>0</v>
      </c>
      <c r="I15" s="8" t="n">
        <v>19</v>
      </c>
      <c r="K15" s="13" t="inlineStr">
        <is>
          <t>LIDER</t>
        </is>
      </c>
      <c r="L15" s="13" t="n">
        <v>6</v>
      </c>
      <c r="M15" s="13" t="n">
        <v>4</v>
      </c>
    </row>
    <row r="16">
      <c r="A16" s="8" t="inlineStr">
        <is>
          <t>INTERNET INTELIGENTE</t>
        </is>
      </c>
      <c r="B16" s="11" t="n">
        <v>0</v>
      </c>
      <c r="C16" s="11" t="n">
        <v>3</v>
      </c>
      <c r="D16" s="11" t="n">
        <v>1</v>
      </c>
      <c r="E16" s="11" t="n">
        <v>2</v>
      </c>
      <c r="F16" s="11" t="n">
        <v>4</v>
      </c>
      <c r="G16" s="11" t="n">
        <v>10</v>
      </c>
      <c r="H16" s="8" t="n">
        <v>0</v>
      </c>
      <c r="I16" s="8" t="n">
        <v>10</v>
      </c>
      <c r="K16" s="13" t="inlineStr">
        <is>
          <t>GICOGE</t>
        </is>
      </c>
      <c r="L16" s="13" t="n">
        <v>8</v>
      </c>
      <c r="M16" s="13" t="n">
        <v>1</v>
      </c>
    </row>
    <row r="17">
      <c r="A17" s="8" t="inlineStr">
        <is>
          <t>GITEM</t>
        </is>
      </c>
      <c r="B17" s="11" t="n">
        <v>0</v>
      </c>
      <c r="C17" s="11" t="n">
        <v>4</v>
      </c>
      <c r="D17" s="11" t="n">
        <v>3</v>
      </c>
      <c r="E17" s="11" t="n">
        <v>1</v>
      </c>
      <c r="F17" s="11" t="n">
        <v>2</v>
      </c>
      <c r="G17" s="11" t="n">
        <v>8</v>
      </c>
      <c r="H17" s="8" t="n">
        <v>2</v>
      </c>
      <c r="I17" s="8" t="n">
        <v>10</v>
      </c>
      <c r="K17" s="13" t="inlineStr">
        <is>
          <t>GIIRA</t>
        </is>
      </c>
      <c r="L17" s="13" t="n">
        <v>8</v>
      </c>
      <c r="M17" s="13" t="n">
        <v>0</v>
      </c>
    </row>
    <row r="18">
      <c r="A18" s="8" t="inlineStr">
        <is>
          <t>LIDER</t>
        </is>
      </c>
      <c r="B18" s="11" t="n">
        <v>0</v>
      </c>
      <c r="C18" s="11" t="n">
        <v>0</v>
      </c>
      <c r="D18" s="11" t="n">
        <v>2</v>
      </c>
      <c r="E18" s="11" t="n">
        <v>1</v>
      </c>
      <c r="F18" s="11" t="n">
        <v>7</v>
      </c>
      <c r="G18" s="11" t="n">
        <v>6</v>
      </c>
      <c r="H18" s="8" t="n">
        <v>4</v>
      </c>
      <c r="I18" s="8" t="n">
        <v>10</v>
      </c>
      <c r="K18" s="13" t="inlineStr">
        <is>
          <t>GRECO</t>
        </is>
      </c>
      <c r="L18" s="13" t="n">
        <v>8</v>
      </c>
      <c r="M18" s="13" t="n">
        <v>0</v>
      </c>
    </row>
    <row r="19">
      <c r="A19" s="8" t="inlineStr">
        <is>
          <t>GICOGE</t>
        </is>
      </c>
      <c r="B19" s="11" t="n">
        <v>1</v>
      </c>
      <c r="C19" s="11" t="n">
        <v>0</v>
      </c>
      <c r="D19" s="11" t="n">
        <v>1</v>
      </c>
      <c r="E19" s="11" t="n">
        <v>3</v>
      </c>
      <c r="F19" s="11" t="n">
        <v>4</v>
      </c>
      <c r="G19" s="11" t="n">
        <v>8</v>
      </c>
      <c r="H19" s="8" t="n">
        <v>1</v>
      </c>
      <c r="I19" s="8" t="n">
        <v>9</v>
      </c>
      <c r="K19" s="13" t="inlineStr">
        <is>
          <t>Multimedia y Animación</t>
        </is>
      </c>
      <c r="L19" s="13" t="n">
        <v>8</v>
      </c>
      <c r="M19" s="13" t="n">
        <v>0</v>
      </c>
    </row>
    <row r="20">
      <c r="A20" s="8" t="inlineStr">
        <is>
          <t>GIIRA</t>
        </is>
      </c>
      <c r="B20" s="11" t="n">
        <v>2</v>
      </c>
      <c r="C20" s="11" t="n">
        <v>0</v>
      </c>
      <c r="D20" s="11" t="n">
        <v>2</v>
      </c>
      <c r="E20" s="11" t="n">
        <v>2</v>
      </c>
      <c r="F20" s="11" t="n">
        <v>2</v>
      </c>
      <c r="G20" s="11" t="n">
        <v>8</v>
      </c>
      <c r="H20" s="8" t="n">
        <v>0</v>
      </c>
      <c r="I20" s="8" t="n">
        <v>8</v>
      </c>
      <c r="K20" s="13" t="inlineStr">
        <is>
          <t>GITUD</t>
        </is>
      </c>
      <c r="L20" s="13" t="n">
        <v>7</v>
      </c>
      <c r="M20" s="13" t="n">
        <v>0</v>
      </c>
    </row>
    <row r="21">
      <c r="A21" s="8" t="inlineStr">
        <is>
          <t>GRECO</t>
        </is>
      </c>
      <c r="B21" s="11" t="n">
        <v>4</v>
      </c>
      <c r="C21" s="11" t="n">
        <v>4</v>
      </c>
      <c r="D21" s="11" t="n">
        <v>0</v>
      </c>
      <c r="E21" s="11" t="n">
        <v>0</v>
      </c>
      <c r="F21" s="11" t="n">
        <v>0</v>
      </c>
      <c r="G21" s="11" t="n">
        <v>8</v>
      </c>
      <c r="H21" s="8" t="n">
        <v>0</v>
      </c>
      <c r="I21" s="8" t="n">
        <v>8</v>
      </c>
    </row>
    <row r="22">
      <c r="A22" s="8" t="inlineStr">
        <is>
          <t>Multimedia Interactiva y Animación Digital</t>
        </is>
      </c>
      <c r="B22" s="11" t="n">
        <v>1</v>
      </c>
      <c r="C22" s="11" t="n">
        <v>3</v>
      </c>
      <c r="D22" s="11" t="n">
        <v>1</v>
      </c>
      <c r="E22" s="11" t="n">
        <v>3</v>
      </c>
      <c r="F22" s="11" t="n">
        <v>0</v>
      </c>
      <c r="G22" s="11" t="n">
        <v>8</v>
      </c>
      <c r="H22" s="8" t="n">
        <v>0</v>
      </c>
      <c r="I22" s="8" t="n">
        <v>8</v>
      </c>
    </row>
    <row r="23">
      <c r="A23" s="8" t="inlineStr">
        <is>
          <t>GITUD</t>
        </is>
      </c>
      <c r="B23" s="11" t="n">
        <v>1</v>
      </c>
      <c r="C23" s="11" t="n">
        <v>1</v>
      </c>
      <c r="D23" s="11" t="n">
        <v>3</v>
      </c>
      <c r="E23" s="11" t="n">
        <v>1</v>
      </c>
      <c r="F23" s="11" t="n">
        <v>1</v>
      </c>
      <c r="G23" s="11" t="n">
        <v>7</v>
      </c>
      <c r="H23" s="8" t="n">
        <v>0</v>
      </c>
      <c r="I23" s="8" t="n">
        <v>7</v>
      </c>
    </row>
    <row r="24">
      <c r="A24" s="8" t="inlineStr">
        <is>
          <t>INTECSE</t>
        </is>
      </c>
      <c r="B24" s="11" t="n">
        <v>3</v>
      </c>
      <c r="C24" s="11" t="n">
        <v>1</v>
      </c>
      <c r="D24" s="11" t="n">
        <v>1</v>
      </c>
      <c r="E24" s="11" t="n">
        <v>1</v>
      </c>
      <c r="F24" s="11" t="n">
        <v>1</v>
      </c>
      <c r="G24" s="11" t="n">
        <v>7</v>
      </c>
      <c r="H24" s="8" t="n">
        <v>0</v>
      </c>
      <c r="I24" s="8" t="n">
        <v>7</v>
      </c>
    </row>
    <row r="25">
      <c r="A25" s="8" t="inlineStr">
        <is>
          <t>LASER</t>
        </is>
      </c>
      <c r="B25" s="11" t="n">
        <v>0</v>
      </c>
      <c r="C25" s="11" t="n">
        <v>0</v>
      </c>
      <c r="D25" s="11" t="n">
        <v>2</v>
      </c>
      <c r="E25" s="11" t="n">
        <v>2</v>
      </c>
      <c r="F25" s="11" t="n">
        <v>2</v>
      </c>
      <c r="G25" s="11" t="n">
        <v>5</v>
      </c>
      <c r="H25" s="8" t="n">
        <v>1</v>
      </c>
      <c r="I25" s="8" t="n">
        <v>6</v>
      </c>
    </row>
    <row r="26">
      <c r="A26" s="8" t="inlineStr">
        <is>
          <t>GESETIC</t>
        </is>
      </c>
      <c r="B26" s="11" t="n">
        <v>1</v>
      </c>
      <c r="C26" s="11" t="n">
        <v>0</v>
      </c>
      <c r="D26" s="11" t="n">
        <v>0</v>
      </c>
      <c r="E26" s="11" t="n">
        <v>0</v>
      </c>
      <c r="F26" s="11" t="n">
        <v>2</v>
      </c>
      <c r="G26" s="11" t="n">
        <v>3</v>
      </c>
      <c r="H26" s="8" t="n">
        <v>0</v>
      </c>
      <c r="I26" s="8" t="n">
        <v>3</v>
      </c>
    </row>
    <row r="27">
      <c r="A27" s="8" t="inlineStr">
        <is>
          <t>ITI</t>
        </is>
      </c>
      <c r="B27" s="11" t="n">
        <v>1</v>
      </c>
      <c r="C27" s="11" t="n">
        <v>1</v>
      </c>
      <c r="D27" s="11" t="n">
        <v>0</v>
      </c>
      <c r="E27" s="11" t="n">
        <v>0</v>
      </c>
      <c r="F27" s="11" t="n">
        <v>1</v>
      </c>
      <c r="G27" s="11" t="n">
        <v>2</v>
      </c>
      <c r="H27" s="8" t="n">
        <v>1</v>
      </c>
      <c r="I27" s="8" t="n">
        <v>3</v>
      </c>
    </row>
    <row r="28">
      <c r="A28" s="8" t="inlineStr">
        <is>
          <t>GICOECOL</t>
        </is>
      </c>
      <c r="B28" s="11" t="n">
        <v>1</v>
      </c>
      <c r="C28" s="11" t="n">
        <v>0</v>
      </c>
      <c r="D28" s="11" t="n">
        <v>0</v>
      </c>
      <c r="E28" s="11" t="n">
        <v>1</v>
      </c>
      <c r="F28" s="11" t="n">
        <v>0</v>
      </c>
      <c r="G28" s="11" t="n">
        <v>2</v>
      </c>
      <c r="H28" s="8" t="n">
        <v>0</v>
      </c>
      <c r="I28" s="8" t="n">
        <v>2</v>
      </c>
    </row>
    <row r="29">
      <c r="A29" s="8" t="inlineStr">
        <is>
          <t>IAFT</t>
        </is>
      </c>
      <c r="B29" s="11" t="n">
        <v>0</v>
      </c>
      <c r="C29" s="11" t="n">
        <v>1</v>
      </c>
      <c r="D29" s="11" t="n">
        <v>0</v>
      </c>
      <c r="E29" s="11" t="n">
        <v>1</v>
      </c>
      <c r="F29" s="11" t="n">
        <v>0</v>
      </c>
      <c r="G29" s="11" t="n">
        <v>2</v>
      </c>
      <c r="H29" s="8" t="n">
        <v>0</v>
      </c>
      <c r="I29" s="8" t="n">
        <v>2</v>
      </c>
    </row>
    <row r="30">
      <c r="A30" s="8" t="inlineStr">
        <is>
          <t>ARMOS</t>
        </is>
      </c>
      <c r="B30" s="11" t="n">
        <v>0</v>
      </c>
      <c r="C30" s="11" t="n">
        <v>1</v>
      </c>
      <c r="D30" s="11" t="n">
        <v>0</v>
      </c>
      <c r="E30" s="11" t="n">
        <v>0</v>
      </c>
      <c r="F30" s="11" t="n">
        <v>1</v>
      </c>
      <c r="G30" s="11" t="n">
        <v>1</v>
      </c>
      <c r="H30" s="8" t="n">
        <v>1</v>
      </c>
      <c r="I30" s="8" t="n">
        <v>2</v>
      </c>
    </row>
    <row r="31">
      <c r="A31" s="8" t="inlineStr">
        <is>
          <t>Bionanotecnología</t>
        </is>
      </c>
      <c r="B31" s="11" t="n">
        <v>0</v>
      </c>
      <c r="C31" s="11" t="n">
        <v>1</v>
      </c>
      <c r="D31" s="11" t="n">
        <v>0</v>
      </c>
      <c r="E31" s="11" t="n">
        <v>0</v>
      </c>
      <c r="F31" s="11" t="n">
        <v>0</v>
      </c>
      <c r="G31" s="11" t="n">
        <v>1</v>
      </c>
      <c r="H31" s="8" t="n">
        <v>0</v>
      </c>
      <c r="I31" s="8" t="n">
        <v>1</v>
      </c>
    </row>
    <row r="32">
      <c r="A32" s="8" t="inlineStr">
        <is>
          <t>CEPMS</t>
        </is>
      </c>
      <c r="B32" s="11" t="n">
        <v>0</v>
      </c>
      <c r="C32" s="11" t="n">
        <v>0</v>
      </c>
      <c r="D32" s="11" t="n">
        <v>0</v>
      </c>
      <c r="E32" s="11" t="n">
        <v>0</v>
      </c>
      <c r="F32" s="11" t="n">
        <v>1</v>
      </c>
      <c r="G32" s="11" t="n">
        <v>1</v>
      </c>
      <c r="H32" s="8" t="n">
        <v>0</v>
      </c>
      <c r="I32" s="8" t="n">
        <v>1</v>
      </c>
    </row>
    <row r="33">
      <c r="A33" s="8" t="inlineStr">
        <is>
          <t>COMPLEX UD</t>
        </is>
      </c>
      <c r="B33" s="11" t="n">
        <v>0</v>
      </c>
      <c r="C33" s="11" t="n">
        <v>1</v>
      </c>
      <c r="D33" s="11" t="n">
        <v>0</v>
      </c>
      <c r="E33" s="11" t="n">
        <v>0</v>
      </c>
      <c r="F33" s="11" t="n">
        <v>0</v>
      </c>
      <c r="G33" s="11" t="n">
        <v>1</v>
      </c>
      <c r="H33" s="8" t="n">
        <v>0</v>
      </c>
      <c r="I33" s="8" t="n">
        <v>1</v>
      </c>
    </row>
    <row r="34">
      <c r="A34" s="8" t="inlineStr">
        <is>
          <t>DIMSI</t>
        </is>
      </c>
      <c r="B34" s="11" t="n">
        <v>0</v>
      </c>
      <c r="C34" s="11" t="n">
        <v>0</v>
      </c>
      <c r="D34" s="11" t="n">
        <v>1</v>
      </c>
      <c r="E34" s="11" t="n">
        <v>0</v>
      </c>
      <c r="F34" s="11" t="n">
        <v>0</v>
      </c>
      <c r="G34" s="11" t="n">
        <v>1</v>
      </c>
      <c r="H34" s="8" t="n">
        <v>0</v>
      </c>
      <c r="I34" s="8" t="n">
        <v>1</v>
      </c>
    </row>
    <row r="35">
      <c r="A35" s="8" t="inlineStr">
        <is>
          <t>LAMIC</t>
        </is>
      </c>
      <c r="B35" s="11" t="n">
        <v>0</v>
      </c>
      <c r="C35" s="11" t="n">
        <v>0</v>
      </c>
      <c r="D35" s="11" t="n">
        <v>1</v>
      </c>
      <c r="E35" s="11" t="n">
        <v>0</v>
      </c>
      <c r="F35" s="11" t="n">
        <v>0</v>
      </c>
      <c r="G35" s="11" t="n">
        <v>1</v>
      </c>
      <c r="H35" s="8" t="n">
        <v>0</v>
      </c>
      <c r="I35" s="8" t="n">
        <v>1</v>
      </c>
    </row>
    <row r="36">
      <c r="A36" s="8" t="inlineStr">
        <is>
          <t>LASER LAMIC</t>
        </is>
      </c>
      <c r="B36" s="11" t="n">
        <v>1</v>
      </c>
      <c r="C36" s="11" t="n">
        <v>0</v>
      </c>
      <c r="D36" s="11" t="n">
        <v>0</v>
      </c>
      <c r="E36" s="11" t="n">
        <v>0</v>
      </c>
      <c r="F36" s="11" t="n">
        <v>0</v>
      </c>
      <c r="G36" s="11" t="n">
        <v>1</v>
      </c>
      <c r="H36" s="8" t="n">
        <v>0</v>
      </c>
      <c r="I36" s="8" t="n">
        <v>1</v>
      </c>
    </row>
    <row r="37">
      <c r="A37" s="8" t="inlineStr">
        <is>
          <t>PROPROBOS</t>
        </is>
      </c>
      <c r="B37" s="11" t="n">
        <v>0</v>
      </c>
      <c r="C37" s="11" t="n">
        <v>0</v>
      </c>
      <c r="D37" s="11" t="n">
        <v>0</v>
      </c>
      <c r="E37" s="11" t="n">
        <v>0</v>
      </c>
      <c r="F37" s="11" t="n">
        <v>1</v>
      </c>
      <c r="G37" s="11" t="n">
        <v>1</v>
      </c>
      <c r="H37" s="8" t="n">
        <v>0</v>
      </c>
      <c r="I37" s="8" t="n">
        <v>1</v>
      </c>
    </row>
    <row r="38" ht="15" customHeight="1">
      <c r="A38" s="8" t="inlineStr">
        <is>
          <t>XUE</t>
        </is>
      </c>
      <c r="B38" s="11" t="n">
        <v>0</v>
      </c>
      <c r="C38" s="11" t="n">
        <v>0</v>
      </c>
      <c r="D38" s="11" t="n">
        <v>1</v>
      </c>
      <c r="E38" s="11" t="n">
        <v>0</v>
      </c>
      <c r="F38" s="11" t="n">
        <v>0</v>
      </c>
      <c r="G38" s="11" t="n">
        <v>1</v>
      </c>
      <c r="H38" s="8" t="n">
        <v>0</v>
      </c>
      <c r="I38" s="8" t="n">
        <v>1</v>
      </c>
    </row>
    <row r="39">
      <c r="A39" t="inlineStr">
        <is>
          <t>Total</t>
        </is>
      </c>
      <c r="B39" t="n">
        <v>32</v>
      </c>
      <c r="C39" t="n">
        <v>27</v>
      </c>
      <c r="D39" t="n">
        <v>25</v>
      </c>
      <c r="E39" t="n">
        <v>25</v>
      </c>
      <c r="F39" t="n">
        <v>39</v>
      </c>
      <c r="G39" t="n">
        <v>133</v>
      </c>
      <c r="H39" t="n">
        <v>15</v>
      </c>
      <c r="I39" t="n">
        <v>148</v>
      </c>
    </row>
    <row r="40">
      <c r="A40" s="32" t="inlineStr">
        <is>
          <t>Lectura sugerida para la visita: 2026 concentra el mayor número de casos (39), seguido de 2022 (32) y 2023 (27). NIDE registra la mayor participación total (26 casos). La cifra de 2026 incluye trabajos sustentados y casos programados, radicados o avalados, y no representa el cierre anual.</t>
        </is>
      </c>
    </row>
    <row r="41"/>
    <row r="42"/>
  </sheetData>
  <mergeCells count="13">
    <mergeCell ref="A3:H3"/>
    <mergeCell ref="A9:H10"/>
    <mergeCell ref="E6:F7"/>
    <mergeCell ref="A40:I42"/>
    <mergeCell ref="C6:D7"/>
    <mergeCell ref="G6:H7"/>
    <mergeCell ref="C5:D5"/>
    <mergeCell ref="A5:B5"/>
    <mergeCell ref="A6:B7"/>
    <mergeCell ref="E5:F5"/>
    <mergeCell ref="G5:H5"/>
    <mergeCell ref="A12:I12"/>
    <mergeCell ref="A1:H2"/>
  </mergeCells>
  <conditionalFormatting sqref="B14:F37">
    <cfRule type="colorScale" priority="2">
      <colorScale>
        <cfvo type="min"/>
        <cfvo type="percentile" val="50"/>
        <cfvo type="max"/>
        <color rgb="FFFFFFFF"/>
        <color rgb="FFF4D7A1"/>
        <color rgb="FF8C1D40"/>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1F4E78"/>
    <outlinePr summaryBelow="1" summaryRight="1"/>
    <pageSetUpPr/>
  </sheetPr>
  <dimension ref="A1:M149"/>
  <sheetViews>
    <sheetView showGridLines="0" workbookViewId="0">
      <pane ySplit="1" topLeftCell="A2" activePane="bottomLeft" state="frozen"/>
      <selection pane="bottomLeft" activeCell="B2" sqref="B2"/>
    </sheetView>
  </sheetViews>
  <sheetFormatPr baseColWidth="10" defaultColWidth="9" defaultRowHeight="14.25"/>
  <cols>
    <col width="7" customWidth="1" min="1" max="1"/>
    <col width="17" customWidth="1" min="2" max="2"/>
    <col width="27" customWidth="1" min="3" max="3"/>
    <col width="58" customWidth="1" min="4" max="4"/>
    <col width="9" customWidth="1" min="5" max="5"/>
    <col width="18" customWidth="1" min="6" max="6"/>
    <col width="28" customWidth="1" min="7" max="9"/>
    <col width="42" customWidth="1" min="10" max="10"/>
    <col width="48" customWidth="1" min="11" max="11"/>
    <col width="31" customWidth="1" min="12" max="12"/>
    <col width="48" customWidth="1" min="13" max="13"/>
  </cols>
  <sheetData>
    <row r="1">
      <c r="A1" s="1" t="inlineStr">
        <is>
          <t>ID</t>
        </is>
      </c>
      <c r="B1" s="1" t="inlineStr">
        <is>
          <t>Código</t>
        </is>
      </c>
      <c r="C1" s="1" t="inlineStr">
        <is>
          <t>Grupo de investigación</t>
        </is>
      </c>
      <c r="D1" s="1" t="inlineStr">
        <is>
          <t>Título del trabajo de grado</t>
        </is>
      </c>
      <c r="E1" s="1" t="inlineStr">
        <is>
          <t>Año</t>
        </is>
      </c>
      <c r="F1" s="1" t="inlineStr">
        <is>
          <t>Modalidad</t>
        </is>
      </c>
      <c r="G1" s="1" t="inlineStr">
        <is>
          <t>Director(es)</t>
        </is>
      </c>
      <c r="H1" s="1" t="inlineStr">
        <is>
          <t>Estudiante(s)</t>
        </is>
      </c>
      <c r="I1" s="1" t="inlineStr">
        <is>
          <t>Fecha / soporte de finalización</t>
        </is>
      </c>
      <c r="J1" s="1" t="inlineStr">
        <is>
          <t>Enlace RIUD</t>
        </is>
      </c>
      <c r="K1" s="1" t="inlineStr">
        <is>
          <t>Archivo fuente</t>
        </is>
      </c>
      <c r="L1" s="1" t="inlineStr">
        <is>
          <t>Estado de sustentación</t>
        </is>
      </c>
      <c r="M1" s="1" t="inlineStr">
        <is>
          <t>Observación de cruce</t>
        </is>
      </c>
    </row>
    <row r="2" ht="25.5" customHeight="1">
      <c r="A2" s="2" t="n">
        <v>1</v>
      </c>
      <c r="B2" s="3" t="inlineStr">
        <is>
          <t>20192495006.0</t>
        </is>
      </c>
      <c r="C2" s="3" t="inlineStr">
        <is>
          <t>Multimedia Interactiva y Animación Digital</t>
        </is>
      </c>
      <c r="D2" s="3" t="inlineStr">
        <is>
          <t>Modelo de learning analytics basado en métricas emocionales para aplicaciones móviles de aprendizaje en segunda lengua</t>
        </is>
      </c>
      <c r="E2" s="4" t="n">
        <v>2022</v>
      </c>
      <c r="F2" s="3" t="inlineStr">
        <is>
          <t>Investigación</t>
        </is>
      </c>
      <c r="G2" s="3" t="inlineStr">
        <is>
          <t>Paulo Alonso Gaona García</t>
        </is>
      </c>
      <c r="H2" s="3" t="inlineStr">
        <is>
          <t>Andres Ovidio Restrepo Rodriguez</t>
        </is>
      </c>
      <c r="I2" s="3" t="inlineStr">
        <is>
          <t>2022-08-12</t>
        </is>
      </c>
      <c r="J2" s="3" t="n"/>
      <c r="K2" s="3" t="inlineStr">
        <is>
          <t>Tesis Maestria Grupo Multimedia 2022-2026(1).xlsx | MCIC - Base de datos V2.xlsx</t>
        </is>
      </c>
      <c r="L2" s="3" t="inlineStr">
        <is>
          <t>Sustentado</t>
        </is>
      </c>
      <c r="M2" s="3" t="n"/>
    </row>
    <row r="3" ht="25.5" customHeight="1">
      <c r="A3" s="2" t="n">
        <v>2</v>
      </c>
      <c r="B3" s="3" t="inlineStr">
        <is>
          <t>20182495008.0</t>
        </is>
      </c>
      <c r="C3" s="3" t="inlineStr">
        <is>
          <t>Multimedia Interactiva y Animación Digital</t>
        </is>
      </c>
      <c r="D3" s="3" t="inlineStr">
        <is>
          <t>Diseño de una plataforma para la ejecución de modelos de predicción sobre el mercado de divisas mediante machine learning</t>
        </is>
      </c>
      <c r="E3" s="4" t="n">
        <v>2023</v>
      </c>
      <c r="F3" s="3" t="inlineStr">
        <is>
          <t>Profundización</t>
        </is>
      </c>
      <c r="G3" s="3" t="inlineStr">
        <is>
          <t>Paulo Alonso Gaona García</t>
        </is>
      </c>
      <c r="H3" s="3" t="inlineStr">
        <is>
          <t>Kevin Steven Gordillo Orjuela</t>
        </is>
      </c>
      <c r="I3" s="3" t="inlineStr">
        <is>
          <t>2023-06-06</t>
        </is>
      </c>
      <c r="J3" s="3" t="n"/>
      <c r="K3" s="3" t="inlineStr">
        <is>
          <t>Tesis Maestria Grupo Multimedia 2022-2026(1).xlsx | MCIC - Base de datos V2.xlsx</t>
        </is>
      </c>
      <c r="L3" s="3" t="inlineStr">
        <is>
          <t>Sustentado</t>
        </is>
      </c>
      <c r="M3" s="3" t="n"/>
    </row>
    <row r="4" ht="25.5" customHeight="1">
      <c r="A4" s="2" t="n">
        <v>3</v>
      </c>
      <c r="B4" s="3" t="inlineStr">
        <is>
          <t>20162495018.0</t>
        </is>
      </c>
      <c r="C4" s="3" t="inlineStr">
        <is>
          <t>Multimedia Interactiva y Animación Digital</t>
        </is>
      </c>
      <c r="D4" s="3" t="inlineStr">
        <is>
          <t>Modelo de sistemas multi-agentes para la consulta basada en niveles de confianza sobre recursos abiertos vinculados mediante Linked Open Data</t>
        </is>
      </c>
      <c r="E4" s="4" t="n">
        <v>2023</v>
      </c>
      <c r="F4" s="3" t="inlineStr">
        <is>
          <t>Investigación</t>
        </is>
      </c>
      <c r="G4" s="3" t="inlineStr">
        <is>
          <t>Paulo Alonso Gaona García</t>
        </is>
      </c>
      <c r="H4" s="3" t="inlineStr">
        <is>
          <t>Camilo Alejandro Valencia Martinez</t>
        </is>
      </c>
      <c r="I4" s="3" t="inlineStr">
        <is>
          <t>2023-06-06</t>
        </is>
      </c>
      <c r="J4" s="3" t="n"/>
      <c r="K4" s="3" t="inlineStr">
        <is>
          <t>Tesis Maestria Grupo Multimedia 2022-2026(1).xlsx | MCIC - Base de datos V2.xlsx</t>
        </is>
      </c>
      <c r="L4" s="3" t="inlineStr">
        <is>
          <t>Sustentado</t>
        </is>
      </c>
      <c r="M4" s="3" t="n"/>
    </row>
    <row r="5" ht="51" customHeight="1">
      <c r="A5" s="2" t="n">
        <v>4</v>
      </c>
      <c r="B5" s="3" t="n"/>
      <c r="C5" s="3" t="inlineStr">
        <is>
          <t>Multimedia Interactiva y Animación Digital</t>
        </is>
      </c>
      <c r="D5" s="3" t="inlineStr">
        <is>
          <t>Modelo de evaluación crediticio basado en principios de un ecosistema digital bancario mediante estrategias de Business Intelligence y mecanismos de reputación en el sector de industria de turismo de las PYMES colombianas</t>
        </is>
      </c>
      <c r="E5" s="4" t="n">
        <v>2024</v>
      </c>
      <c r="F5" s="3" t="n"/>
      <c r="G5" s="3" t="inlineStr">
        <is>
          <t>Paulo Alonso Gaona García</t>
        </is>
      </c>
      <c r="H5" s="3" t="inlineStr">
        <is>
          <t>William Stiven Garces Rodriguez</t>
        </is>
      </c>
      <c r="I5" s="3" t="n"/>
      <c r="J5" s="3" t="n"/>
      <c r="K5" s="3" t="inlineStr">
        <is>
          <t>Tesis Maestria Grupo Multimedia 2022-2026(1).xlsx</t>
        </is>
      </c>
      <c r="L5" s="3" t="inlineStr">
        <is>
          <t>Sustentado</t>
        </is>
      </c>
      <c r="M5" s="3" t="n"/>
    </row>
    <row r="6" ht="25.5" customHeight="1">
      <c r="A6" s="2" t="n">
        <v>5</v>
      </c>
      <c r="B6" s="3" t="inlineStr">
        <is>
          <t>20202495020.0</t>
        </is>
      </c>
      <c r="C6" s="3" t="inlineStr">
        <is>
          <t>Multimedia Interactiva y Animación Digital</t>
        </is>
      </c>
      <c r="D6" s="3" t="inlineStr">
        <is>
          <t>Modelo para la evaluación de la calidad intrínseca y dinámica de los datos abiertos sector salud en Bogotá D.C. basado en Machine Learning</t>
        </is>
      </c>
      <c r="E6" s="4" t="n">
        <v>2025</v>
      </c>
      <c r="F6" s="3" t="inlineStr">
        <is>
          <t>Profundización</t>
        </is>
      </c>
      <c r="G6" s="3" t="inlineStr">
        <is>
          <t>Paulo Alonso Gaona García</t>
        </is>
      </c>
      <c r="H6" s="3" t="inlineStr">
        <is>
          <t>Alvaro Varon Capera</t>
        </is>
      </c>
      <c r="I6" s="3" t="inlineStr">
        <is>
          <t>2025-02-28</t>
        </is>
      </c>
      <c r="J6" s="3" t="n"/>
      <c r="K6" s="3" t="inlineStr">
        <is>
          <t>Tesis Maestria Grupo Multimedia 2022-2026(1).xlsx | MCIC - Base de datos V2.xlsx</t>
        </is>
      </c>
      <c r="L6" s="3" t="inlineStr">
        <is>
          <t>Sustentado</t>
        </is>
      </c>
      <c r="M6" s="3" t="n"/>
    </row>
    <row r="7">
      <c r="A7" s="2" t="n">
        <v>6</v>
      </c>
      <c r="B7" s="3" t="n"/>
      <c r="C7" s="3" t="inlineStr">
        <is>
          <t>GIIRA</t>
        </is>
      </c>
      <c r="D7" s="3" t="inlineStr">
        <is>
          <t>Modelo de clasificación de imágenes basado en Multiview Learning</t>
        </is>
      </c>
      <c r="E7" s="4" t="n">
        <v>2025</v>
      </c>
      <c r="F7" s="3" t="n"/>
      <c r="G7" s="3" t="inlineStr">
        <is>
          <t>Nancy Yaneth Gelvez Garcia</t>
        </is>
      </c>
      <c r="H7" s="3" t="inlineStr">
        <is>
          <t>Kevin Camilo Diaz Monje</t>
        </is>
      </c>
      <c r="I7" s="3" t="n"/>
      <c r="J7" s="3" t="n"/>
      <c r="K7" s="3" t="inlineStr">
        <is>
          <t>Tesis Maestria Grupo Multimedia 2022-2026(1).xlsx</t>
        </is>
      </c>
      <c r="L7" s="3" t="inlineStr">
        <is>
          <t>Sustentado</t>
        </is>
      </c>
      <c r="M7" s="3" t="n"/>
    </row>
    <row r="8" ht="25.5" customHeight="1">
      <c r="A8" s="2" t="n">
        <v>7</v>
      </c>
      <c r="B8" s="3" t="inlineStr">
        <is>
          <t>20191495025.0</t>
        </is>
      </c>
      <c r="C8" s="3" t="inlineStr">
        <is>
          <t>Multimedia Interactiva y Animación Digital</t>
        </is>
      </c>
      <c r="D8" s="3" t="inlineStr">
        <is>
          <t>Diseño de un metamodelo de  software para el desarrollo de  aplicaciones inmersivas</t>
        </is>
      </c>
      <c r="E8" s="4" t="n">
        <v>2025</v>
      </c>
      <c r="F8" s="3" t="inlineStr">
        <is>
          <t>Investigación</t>
        </is>
      </c>
      <c r="G8" s="3" t="inlineStr">
        <is>
          <t>Nancy Yaneth Gelvez Garcia</t>
        </is>
      </c>
      <c r="H8" s="3" t="inlineStr">
        <is>
          <t>Andres Felipe  Sanchez Cruz</t>
        </is>
      </c>
      <c r="I8" s="3" t="inlineStr">
        <is>
          <t>2025-04-23</t>
        </is>
      </c>
      <c r="J8" s="3" t="n"/>
      <c r="K8" s="3" t="inlineStr">
        <is>
          <t>Tesis Maestria Grupo Multimedia 2022-2026(1).xlsx | MCIC - Base de datos V2.xlsx</t>
        </is>
      </c>
      <c r="L8" s="3" t="inlineStr">
        <is>
          <t>Sustentado</t>
        </is>
      </c>
      <c r="M8" s="3" t="n"/>
    </row>
    <row r="9" ht="38.25" customHeight="1">
      <c r="A9" s="2" t="n">
        <v>8</v>
      </c>
      <c r="B9" s="3" t="inlineStr">
        <is>
          <t>20191495006.0</t>
        </is>
      </c>
      <c r="C9" s="3" t="inlineStr">
        <is>
          <t>GIIRA</t>
        </is>
      </c>
      <c r="D9" s="3" t="inlineStr">
        <is>
          <t>Mejoramiento de la descripción de recursos educativos abiertos, a partir de técnicas basadas en inteligencia artificial, machine learning y minería de datos</t>
        </is>
      </c>
      <c r="E9" s="4" t="n">
        <v>2025</v>
      </c>
      <c r="F9" s="3" t="inlineStr">
        <is>
          <t>Investigación</t>
        </is>
      </c>
      <c r="G9" s="3" t="inlineStr">
        <is>
          <t>John Francined Herrera Cubides</t>
        </is>
      </c>
      <c r="H9" s="3" t="inlineStr">
        <is>
          <t>Juan Guillermo Cotta Garcia</t>
        </is>
      </c>
      <c r="I9" s="3" t="inlineStr">
        <is>
          <t>2025-08-22</t>
        </is>
      </c>
      <c r="J9" s="3" t="n"/>
      <c r="K9" s="3" t="inlineStr">
        <is>
          <t>Tesis Maestria Grupo Multimedia 2022-2026(1).xlsx | MCIC - Base de datos V2.xlsx</t>
        </is>
      </c>
      <c r="L9" s="3" t="inlineStr">
        <is>
          <t>Sustentado</t>
        </is>
      </c>
      <c r="M9" s="3" t="n"/>
    </row>
    <row r="10" ht="38.25" customHeight="1">
      <c r="A10" s="2" t="n">
        <v>9</v>
      </c>
      <c r="B10" s="3" t="inlineStr">
        <is>
          <t>20202495009.0</t>
        </is>
      </c>
      <c r="C10" s="3" t="inlineStr">
        <is>
          <t>Multimedia Interactiva y Animación Digital</t>
        </is>
      </c>
      <c r="D10" s="3" t="inlineStr">
        <is>
          <t>Diseño de modelo arquitectónico asíncrono para la implementación de servicios de computación sin servidor en la infraestructura de nube privada de IFX NETWORKS.</t>
        </is>
      </c>
      <c r="E10" s="4" t="n">
        <v>2025</v>
      </c>
      <c r="F10" s="3" t="inlineStr">
        <is>
          <t>Profundización</t>
        </is>
      </c>
      <c r="G10" s="3" t="inlineStr">
        <is>
          <t>Paulo Alonso Gaona García</t>
        </is>
      </c>
      <c r="H10" s="3" t="inlineStr">
        <is>
          <t>Breitner Enrique González Angarita</t>
        </is>
      </c>
      <c r="I10" s="3" t="inlineStr">
        <is>
          <t>Acta 010-2025</t>
        </is>
      </c>
      <c r="J10" s="3" t="n"/>
      <c r="K10" s="3" t="inlineStr">
        <is>
          <t>Tesis Maestria Grupo Multimedia 2022-2026(1).xlsx | MCIC - Base de datos V2.xlsx</t>
        </is>
      </c>
      <c r="L10" s="3" t="inlineStr">
        <is>
          <t>Sustentado</t>
        </is>
      </c>
      <c r="M10" s="3" t="n"/>
    </row>
    <row r="11" ht="38.25" customHeight="1">
      <c r="A11" s="2" t="n">
        <v>10</v>
      </c>
      <c r="B11" s="3" t="inlineStr">
        <is>
          <t>20212195003.0</t>
        </is>
      </c>
      <c r="C11" s="3" t="inlineStr">
        <is>
          <t>GIIRA</t>
        </is>
      </c>
      <c r="D11" s="3" t="inlineStr">
        <is>
          <t>MODELO PREDICTIVO PARA LA TOMA DE DECISIONES SOBRE EL CONSUMO DE AYUDAS ERGOGÉNICAS NUTRICIONALES Y FARMACOLÓGICAS EN POBLACIÓN FÍSICAMENTE ACTIVA</t>
        </is>
      </c>
      <c r="E11" s="4" t="n">
        <v>2026</v>
      </c>
      <c r="F11" s="3" t="inlineStr">
        <is>
          <t>Investigación</t>
        </is>
      </c>
      <c r="G11" s="3" t="inlineStr">
        <is>
          <t>Paulo Alonso Gaona
Codirector: Carlos Enrique Montenegro</t>
        </is>
      </c>
      <c r="H11" s="3" t="inlineStr">
        <is>
          <t>Diego Alexander Bonilla Ocampo</t>
        </is>
      </c>
      <c r="I11" s="3" t="inlineStr">
        <is>
          <t>2026-06-10 | Acta 018-2026</t>
        </is>
      </c>
      <c r="J11" s="3" t="n"/>
      <c r="K11" s="3" t="inlineStr">
        <is>
          <t>Tesis Maestria Grupo Multimedia 2022-2026(1).xlsx | Programación sustentaciones.xlsx</t>
        </is>
      </c>
      <c r="L11" s="3" t="inlineStr">
        <is>
          <t>Sustentado</t>
        </is>
      </c>
      <c r="M11" s="3" t="n"/>
    </row>
    <row r="12" ht="25.5" customHeight="1">
      <c r="A12" s="2" t="n">
        <v>11</v>
      </c>
      <c r="B12" s="3" t="n"/>
      <c r="C12" s="3" t="inlineStr">
        <is>
          <t>GIIRA</t>
        </is>
      </c>
      <c r="D12" s="3" t="inlineStr">
        <is>
          <t>Diseño de una aplicación móvil para el traslado prehospitalario de víctimas de accidentes de tránsito en la ciudad de neiva</t>
        </is>
      </c>
      <c r="E12" s="4" t="n">
        <v>2026</v>
      </c>
      <c r="F12" s="3" t="n"/>
      <c r="G12" s="3" t="inlineStr">
        <is>
          <t>Paulo Alonso Gaona García</t>
        </is>
      </c>
      <c r="H12" s="3" t="inlineStr">
        <is>
          <t>Juan Gabriel Carvajal Vega</t>
        </is>
      </c>
      <c r="I12" s="3" t="n"/>
      <c r="J12" s="3" t="n"/>
      <c r="K12" s="3" t="inlineStr">
        <is>
          <t>Tesis Maestria Grupo Multimedia 2022-2026(1).xlsx</t>
        </is>
      </c>
      <c r="L12" s="3" t="inlineStr">
        <is>
          <t>Sustentado</t>
        </is>
      </c>
      <c r="M12" s="3" t="n"/>
    </row>
    <row r="13" ht="25.5" customHeight="1">
      <c r="A13" s="2" t="n">
        <v>12</v>
      </c>
      <c r="B13" s="3" t="n"/>
      <c r="C13" s="3" t="inlineStr">
        <is>
          <t>GICOGE</t>
        </is>
      </c>
      <c r="D13" s="3" t="inlineStr">
        <is>
          <t>Aplicación de machine learning para la orientación en la toma de decisiones</t>
        </is>
      </c>
      <c r="E13" s="4" t="n">
        <v>2022</v>
      </c>
      <c r="F13" s="3" t="n"/>
      <c r="G13" s="3" t="inlineStr">
        <is>
          <t>Nelson Enrique Vera Parra</t>
        </is>
      </c>
      <c r="H13" s="3" t="inlineStr">
        <is>
          <t>Nancy Johana Matta Monroy</t>
        </is>
      </c>
      <c r="I13" s="3" t="n"/>
      <c r="J13" s="3" t="n"/>
      <c r="K13" s="3" t="inlineStr">
        <is>
          <t>Proyectos de Grado vinculados a GICOGE - MCIC 2022-2026(1).xlsx</t>
        </is>
      </c>
      <c r="L13" s="3" t="inlineStr">
        <is>
          <t>Sustentado</t>
        </is>
      </c>
      <c r="M13" s="3" t="n"/>
    </row>
    <row r="14" ht="38.25" customHeight="1">
      <c r="A14" s="2" t="n">
        <v>13</v>
      </c>
      <c r="B14" s="3" t="inlineStr">
        <is>
          <t>20202195006.0</t>
        </is>
      </c>
      <c r="C14" s="3" t="inlineStr">
        <is>
          <t>GICOGE</t>
        </is>
      </c>
      <c r="D14" s="3" t="inlineStr">
        <is>
          <t>MEDICIÓN DE LA DIFERENCIA DE FASE DE LA SEÑAL DE SALIDA DE OSCILADORES ATÓMICOS MEDIANTE COMPARACIÓN SATELITAL.</t>
        </is>
      </c>
      <c r="E14" s="4" t="n">
        <v>2026</v>
      </c>
      <c r="F14" s="3" t="inlineStr">
        <is>
          <t>Profundización</t>
        </is>
      </c>
      <c r="G14" s="3" t="inlineStr">
        <is>
          <t>Nelson Enrique Vera
Codirector: Nelson Bahamón Córtes</t>
        </is>
      </c>
      <c r="H14" s="3" t="inlineStr">
        <is>
          <t>Claudia Fernanda Rodríguez Rodríguez</t>
        </is>
      </c>
      <c r="I14" s="3" t="inlineStr">
        <is>
          <t>2026-06-11 | Acta 020-2026</t>
        </is>
      </c>
      <c r="J14" s="3" t="n"/>
      <c r="K14" s="3" t="inlineStr">
        <is>
          <t>Proyectos de Grado vinculados a GICOGE - MCIC 2022-2026(1).xlsx | Programación sustentaciones.xlsx</t>
        </is>
      </c>
      <c r="L14" s="3" t="inlineStr">
        <is>
          <t>Sustentado</t>
        </is>
      </c>
      <c r="M14" s="3" t="inlineStr">
        <is>
          <t>Año actualizado de 2024 a 2026 según fecha efectiva de sustentación. Título actualizado según programación de sustentaciones.</t>
        </is>
      </c>
    </row>
    <row r="15" ht="25.5" customHeight="1">
      <c r="A15" s="2" t="n">
        <v>14</v>
      </c>
      <c r="B15" s="3" t="inlineStr">
        <is>
          <t>20192495003</t>
        </is>
      </c>
      <c r="C15" s="3" t="inlineStr">
        <is>
          <t>GICOGE</t>
        </is>
      </c>
      <c r="D15" s="3" t="inlineStr">
        <is>
          <t>DINÁMICA ENERGÉTICA DEL MALWARE: AUTOORGANIZACIÓN MORFOLÓGICA DE SU IDENTIDAD COMPORTAMENTAL</t>
        </is>
      </c>
      <c r="E15" s="4" t="n">
        <v>2026</v>
      </c>
      <c r="F15" s="3" t="inlineStr">
        <is>
          <t>Investigación</t>
        </is>
      </c>
      <c r="G15" s="3" t="inlineStr">
        <is>
          <t>Nelson Enrique Vera</t>
        </is>
      </c>
      <c r="H15" s="3" t="inlineStr">
        <is>
          <t>Andrés David Montenegro Alvarado</t>
        </is>
      </c>
      <c r="I15" s="3" t="inlineStr">
        <is>
          <t>Programada: 2026-07-21</t>
        </is>
      </c>
      <c r="J15" s="3" t="n"/>
      <c r="K15" s="3" t="inlineStr">
        <is>
          <t>Proyectos de Grado vinculados a GICOGE - MCIC 2022-2026(1).xlsx | Programación sustentaciones.xlsx</t>
        </is>
      </c>
      <c r="L15" s="3" t="inlineStr">
        <is>
          <t>Programado o radicado, no sustentado</t>
        </is>
      </c>
      <c r="M15" s="3" t="inlineStr">
        <is>
          <t>Caso programado o radicado sin sustentación efectiva; el año 2026 corresponde a la programación.</t>
        </is>
      </c>
    </row>
    <row r="16" ht="25.5" customHeight="1">
      <c r="A16" s="2" t="n">
        <v>15</v>
      </c>
      <c r="B16" s="3" t="n"/>
      <c r="C16" s="3" t="inlineStr">
        <is>
          <t>GICOGE</t>
        </is>
      </c>
      <c r="D16" s="3" t="inlineStr">
        <is>
          <t>Modelo de ChatBot basado en IA para el soporte en Normatividad de la Vicerectoria de Investigación, creación e innovación</t>
        </is>
      </c>
      <c r="E16" s="4" t="n">
        <v>2025</v>
      </c>
      <c r="F16" s="3" t="n"/>
      <c r="G16" s="3" t="inlineStr">
        <is>
          <t>Nelson Enrique Vera Parra</t>
        </is>
      </c>
      <c r="H16" s="3" t="inlineStr">
        <is>
          <t>Maria Clara Quintero Quintana</t>
        </is>
      </c>
      <c r="I16" s="3" t="n"/>
      <c r="J16" s="3" t="n"/>
      <c r="K16" s="3" t="inlineStr">
        <is>
          <t>Proyectos de Grado vinculados a GICOGE - MCIC 2022-2026(1).xlsx</t>
        </is>
      </c>
      <c r="L16" s="3" t="inlineStr">
        <is>
          <t>Sustentado</t>
        </is>
      </c>
      <c r="M16" s="3" t="n"/>
    </row>
    <row r="17" ht="38.25" customHeight="1">
      <c r="A17" s="2" t="n">
        <v>16</v>
      </c>
      <c r="B17" s="3" t="inlineStr">
        <is>
          <t>20162495010.0</t>
        </is>
      </c>
      <c r="C17" s="3" t="inlineStr">
        <is>
          <t>GICOGE</t>
        </is>
      </c>
      <c r="D17" s="3" t="inlineStr">
        <is>
          <t>DESARROLLO DE UNA METODOLOGÍA ÁGIL PARA LA GESTIÓN DE PROYECTOS DE SOFTWARE VINCULANDO LA GESTIÓN DEL CONOCIMIENTO Y LOS ESTÁNDARES PMI.</t>
        </is>
      </c>
      <c r="E17" s="4" t="n">
        <v>2026</v>
      </c>
      <c r="F17" s="3" t="inlineStr">
        <is>
          <t>Investigación</t>
        </is>
      </c>
      <c r="G17" s="3" t="inlineStr">
        <is>
          <t>Nelson Enrique Vera Parra</t>
        </is>
      </c>
      <c r="H17" s="3" t="inlineStr">
        <is>
          <t>Diego Andres Moncada Vega</t>
        </is>
      </c>
      <c r="I17" s="3" t="inlineStr">
        <is>
          <t>2026-06-16 | Acta 022-2026</t>
        </is>
      </c>
      <c r="J17" s="3" t="n"/>
      <c r="K17" s="3" t="inlineStr">
        <is>
          <t>Proyectos de Grado vinculados a GICOGE - MCIC 2022-2026(1).xlsx | Programación sustentaciones.xlsx</t>
        </is>
      </c>
      <c r="L17" s="3" t="inlineStr">
        <is>
          <t>Sustentado</t>
        </is>
      </c>
      <c r="M17" s="3" t="inlineStr">
        <is>
          <t>Año actualizado de 2025 a 2026 según fecha efectiva de sustentación.</t>
        </is>
      </c>
    </row>
    <row r="18" ht="25.5" customHeight="1">
      <c r="A18" s="2" t="n">
        <v>17</v>
      </c>
      <c r="B18" s="3" t="n"/>
      <c r="C18" s="3" t="inlineStr">
        <is>
          <t>GICOGE</t>
        </is>
      </c>
      <c r="D18" s="3" t="inlineStr">
        <is>
          <t>Metodología basada en IA para la migración de código legado: Se tor Bancario</t>
        </is>
      </c>
      <c r="E18" s="4" t="n">
        <v>2025</v>
      </c>
      <c r="F18" s="3" t="n"/>
      <c r="G18" s="3" t="inlineStr">
        <is>
          <t>Nelson Enrique Vera Parra</t>
        </is>
      </c>
      <c r="H18" s="3" t="inlineStr">
        <is>
          <t>José Antonio Silva Rojas</t>
        </is>
      </c>
      <c r="I18" s="3" t="n"/>
      <c r="J18" s="3" t="n"/>
      <c r="K18" s="3" t="inlineStr">
        <is>
          <t>Proyectos de Grado vinculados a GICOGE - MCIC 2022-2026(1).xlsx</t>
        </is>
      </c>
      <c r="L18" s="3" t="inlineStr">
        <is>
          <t>Sustentado</t>
        </is>
      </c>
      <c r="M18" s="3" t="n"/>
    </row>
    <row r="19" ht="25.5" customHeight="1">
      <c r="A19" s="2" t="n">
        <v>18</v>
      </c>
      <c r="B19" s="3" t="n"/>
      <c r="C19" s="3" t="inlineStr">
        <is>
          <t>GICOGE</t>
        </is>
      </c>
      <c r="D19" s="3" t="inlineStr">
        <is>
          <t>Detección temprana de anomalías operacionales en corredores BRT mediante divergencia espacio-temporal en gemelos digitales</t>
        </is>
      </c>
      <c r="E19" s="4" t="n">
        <v>2026</v>
      </c>
      <c r="F19" s="3" t="n"/>
      <c r="G19" s="3" t="inlineStr">
        <is>
          <t>Nelson Enrique Vera Parra</t>
        </is>
      </c>
      <c r="H19" s="3" t="inlineStr">
        <is>
          <t>Carlos Stiven Mora Hoyos</t>
        </is>
      </c>
      <c r="I19" s="3" t="n"/>
      <c r="J19" s="3" t="n"/>
      <c r="K19" s="3" t="inlineStr">
        <is>
          <t>Proyectos de Grado vinculados a GICOGE - MCIC 2022-2026(1).xlsx</t>
        </is>
      </c>
      <c r="L19" s="3" t="inlineStr">
        <is>
          <t>Sustentado</t>
        </is>
      </c>
      <c r="M19" s="3" t="n"/>
    </row>
    <row r="20" ht="25.5" customHeight="1">
      <c r="A20" s="2" t="n">
        <v>19</v>
      </c>
      <c r="B20" s="3" t="n"/>
      <c r="C20" s="3" t="inlineStr">
        <is>
          <t>NIDE</t>
        </is>
      </c>
      <c r="D20" s="3" t="inlineStr">
        <is>
          <t>Modelo Cox Log-Gaussiano de los Eventos Sísmicos en Colombia Utilizando un Enfoque Bayesiano Alimentado de una Red Neuronal Artificial</t>
        </is>
      </c>
      <c r="E20" s="4" t="n">
        <v>2022</v>
      </c>
      <c r="F20" s="3" t="n"/>
      <c r="G20" s="3" t="inlineStr">
        <is>
          <t>Carlos Eduardo Melo Martinez</t>
        </is>
      </c>
      <c r="H20" s="3" t="n"/>
      <c r="I20" s="3" t="n"/>
      <c r="J20" s="3" t="n"/>
      <c r="K20" s="3" t="inlineStr">
        <is>
          <t>trabajos_grado_maestria_MCIC_2022_2026(1).xlsx</t>
        </is>
      </c>
      <c r="L20" s="3" t="inlineStr">
        <is>
          <t>Sustentado</t>
        </is>
      </c>
      <c r="M20" s="3" t="n"/>
    </row>
    <row r="21" ht="25.5" customHeight="1">
      <c r="A21" s="2" t="n">
        <v>20</v>
      </c>
      <c r="B21" s="3" t="inlineStr">
        <is>
          <t>20171195006.0</t>
        </is>
      </c>
      <c r="C21" s="3" t="inlineStr">
        <is>
          <t>NIDE</t>
        </is>
      </c>
      <c r="D21" s="3" t="inlineStr">
        <is>
          <t>Simulador de un simulador de datos de radar metereologico de polarizacion dual para zonas ecuatoriales</t>
        </is>
      </c>
      <c r="E21" s="4" t="n">
        <v>2022</v>
      </c>
      <c r="F21" s="3" t="inlineStr">
        <is>
          <t>Profundización</t>
        </is>
      </c>
      <c r="G21" s="3" t="inlineStr">
        <is>
          <t>Ernesto Gomez Vargas, Lydia Marleny Prieto Leon</t>
        </is>
      </c>
      <c r="H21" s="3" t="inlineStr">
        <is>
          <t>Gustavo Alejandro Robayo Mendez</t>
        </is>
      </c>
      <c r="I21" s="3" t="inlineStr">
        <is>
          <t>2022-07-13</t>
        </is>
      </c>
      <c r="J21" s="3" t="n"/>
      <c r="K21" s="3" t="inlineStr">
        <is>
          <t>trabajos_grado_maestria_MCIC_2022_2026(1).xlsx | MCIC - Base de datos V2.xlsx</t>
        </is>
      </c>
      <c r="L21" s="3" t="inlineStr">
        <is>
          <t>Sustentado</t>
        </is>
      </c>
      <c r="M21" s="3" t="n"/>
    </row>
    <row r="22" ht="25.5" customHeight="1">
      <c r="A22" s="2" t="n">
        <v>21</v>
      </c>
      <c r="B22" s="3" t="n"/>
      <c r="C22" s="3" t="inlineStr">
        <is>
          <t>NIDE</t>
        </is>
      </c>
      <c r="D22" s="3" t="inlineStr">
        <is>
          <t>Un modelo de regresión logística para el estudio de la relocalización industrial en Colombia del periodo 2005 - 2015</t>
        </is>
      </c>
      <c r="E22" s="4" t="n">
        <v>2023</v>
      </c>
      <c r="F22" s="3" t="n"/>
      <c r="G22" s="3" t="inlineStr">
        <is>
          <t>Hector Javier Fuentes Lopez</t>
        </is>
      </c>
      <c r="H22" s="3" t="inlineStr">
        <is>
          <t>Andres David Mesa Ospina</t>
        </is>
      </c>
      <c r="I22" s="3" t="n"/>
      <c r="J22" s="3" t="n"/>
      <c r="K22" s="3" t="inlineStr">
        <is>
          <t>trabajos_grado_maestria_MCIC_2022_2026(1).xlsx</t>
        </is>
      </c>
      <c r="L22" s="3" t="inlineStr">
        <is>
          <t>Sustentado</t>
        </is>
      </c>
      <c r="M22" s="3" t="n"/>
    </row>
    <row r="23" ht="25.5" customHeight="1">
      <c r="A23" s="2" t="n">
        <v>22</v>
      </c>
      <c r="B23" s="3" t="inlineStr">
        <is>
          <t>20191395002.0</t>
        </is>
      </c>
      <c r="C23" s="3" t="inlineStr">
        <is>
          <t>NIDE</t>
        </is>
      </c>
      <c r="D23" s="3" t="inlineStr">
        <is>
          <t>Modelo para la determinación de Isoglosas y clasificación dialectal a partir de datos del tomo III del Atlas Lingüístico Etnográfico De Colombia</t>
        </is>
      </c>
      <c r="E23" s="4" t="n">
        <v>2022</v>
      </c>
      <c r="F23" s="3" t="inlineStr">
        <is>
          <t>Investigación</t>
        </is>
      </c>
      <c r="G23" s="3" t="inlineStr">
        <is>
          <t>Luz Angela Rocha Salamanca</t>
        </is>
      </c>
      <c r="H23" s="3" t="inlineStr">
        <is>
          <t>Javier Orlando Fernández Campos</t>
        </is>
      </c>
      <c r="I23" s="3" t="inlineStr">
        <is>
          <t>2022-04-22</t>
        </is>
      </c>
      <c r="J23" s="3" t="n"/>
      <c r="K23" s="3" t="inlineStr">
        <is>
          <t>trabajos_grado_maestria_MCIC_2022_2026(1).xlsx | MCIC - Base de datos V2.xlsx</t>
        </is>
      </c>
      <c r="L23" s="3" t="inlineStr">
        <is>
          <t>Sustentado</t>
        </is>
      </c>
      <c r="M23" s="3" t="n"/>
    </row>
    <row r="24" ht="38.25" customHeight="1">
      <c r="A24" s="2" t="n">
        <v>23</v>
      </c>
      <c r="B24" s="3" t="n"/>
      <c r="C24" s="3" t="inlineStr">
        <is>
          <t>NIDE</t>
        </is>
      </c>
      <c r="D24" s="3" t="inlineStr">
        <is>
          <t>Análisis polarimétrico a través de "sar polarimetric target analysis" como apoyo para obtener coberturas de la tierra con la metodología corine land cover</t>
        </is>
      </c>
      <c r="E24" s="4" t="n">
        <v>2022</v>
      </c>
      <c r="F24" s="3" t="n"/>
      <c r="G24" s="3" t="inlineStr">
        <is>
          <t>Jose Luis Herrera Escorcia</t>
        </is>
      </c>
      <c r="H24" s="3" t="inlineStr">
        <is>
          <t>Juan Carlos Parra Garzon</t>
        </is>
      </c>
      <c r="I24" s="3" t="n"/>
      <c r="J24" s="3" t="n"/>
      <c r="K24" s="3" t="inlineStr">
        <is>
          <t>trabajos_grado_maestria_MCIC_2022_2026(1).xlsx</t>
        </is>
      </c>
      <c r="L24" s="3" t="inlineStr">
        <is>
          <t>Sustentado</t>
        </is>
      </c>
      <c r="M24" s="3" t="n"/>
    </row>
    <row r="25" ht="38.25" customHeight="1">
      <c r="A25" s="2" t="n">
        <v>24</v>
      </c>
      <c r="B25" s="3" t="n"/>
      <c r="C25" s="3" t="inlineStr">
        <is>
          <t>NIDE</t>
        </is>
      </c>
      <c r="D25" s="3" t="inlineStr">
        <is>
          <t>Construcción del modelo de calidad para la clasificación del uso del suelo en el ordenamiento territorial enmarcado en la infraestructura de datos espaciales para la administración de tierras</t>
        </is>
      </c>
      <c r="E25" s="4" t="n">
        <v>2022</v>
      </c>
      <c r="F25" s="3" t="n"/>
      <c r="G25" s="3" t="inlineStr">
        <is>
          <t>Luz Angela Rocha Salamanca, Moises German Poyatos Benadero</t>
        </is>
      </c>
      <c r="H25" s="3" t="inlineStr">
        <is>
          <t>Laura Melissa Manrique Chacon</t>
        </is>
      </c>
      <c r="I25" s="3" t="n"/>
      <c r="J25" s="3" t="n"/>
      <c r="K25" s="3" t="inlineStr">
        <is>
          <t>trabajos_grado_maestria_MCIC_2022_2026(1).xlsx</t>
        </is>
      </c>
      <c r="L25" s="3" t="inlineStr">
        <is>
          <t>Sustentado</t>
        </is>
      </c>
      <c r="M25" s="3" t="n"/>
    </row>
    <row r="26" ht="25.5" customHeight="1">
      <c r="A26" s="2" t="n">
        <v>25</v>
      </c>
      <c r="B26" s="3" t="n"/>
      <c r="C26" s="3" t="inlineStr">
        <is>
          <t>NIDE</t>
        </is>
      </c>
      <c r="D26" s="3" t="inlineStr">
        <is>
          <t>Modelo de una infraestructura de posicionamiento como soporte a la construcción de una Sociedad Espacialmente Habilitada en Bogotá.</t>
        </is>
      </c>
      <c r="E26" s="4" t="n">
        <v>2024</v>
      </c>
      <c r="F26" s="3" t="n"/>
      <c r="G26" s="3" t="inlineStr">
        <is>
          <t>Luz Angela Rocha Salamanca</t>
        </is>
      </c>
      <c r="H26" s="3" t="inlineStr">
        <is>
          <t>Robert Andres Pulido Arias</t>
        </is>
      </c>
      <c r="I26" s="3" t="n"/>
      <c r="J26" s="3" t="n"/>
      <c r="K26" s="3" t="inlineStr">
        <is>
          <t>trabajos_grado_maestria_MCIC_2022_2026(1).xlsx</t>
        </is>
      </c>
      <c r="L26" s="3" t="inlineStr">
        <is>
          <t>Sustentado</t>
        </is>
      </c>
      <c r="M26" s="3" t="n"/>
    </row>
    <row r="27" ht="25.5" customHeight="1">
      <c r="A27" s="2" t="n">
        <v>26</v>
      </c>
      <c r="B27" s="3" t="n"/>
      <c r="C27" s="3" t="inlineStr">
        <is>
          <t>NIDE</t>
        </is>
      </c>
      <c r="D27" s="3" t="inlineStr">
        <is>
          <t>Modelo para la evaluación de la calidad de agua utilizando imágenes de satélite, a partir de las concentraciones fisicoquímicas</t>
        </is>
      </c>
      <c r="E27" s="4" t="n">
        <v>2022</v>
      </c>
      <c r="F27" s="3" t="n"/>
      <c r="G27" s="3" t="inlineStr">
        <is>
          <t>Luz Angela Rocha Salamanca</t>
        </is>
      </c>
      <c r="H27" s="3" t="inlineStr">
        <is>
          <t>Luis Manuel Guerrero Buelvas</t>
        </is>
      </c>
      <c r="I27" s="3" t="n"/>
      <c r="J27" s="3" t="n"/>
      <c r="K27" s="3" t="inlineStr">
        <is>
          <t>trabajos_grado_maestria_MCIC_2022_2026(1).xlsx</t>
        </is>
      </c>
      <c r="L27" s="3" t="inlineStr">
        <is>
          <t>Sustentado</t>
        </is>
      </c>
      <c r="M27" s="3" t="n"/>
    </row>
    <row r="28" ht="25.5" customHeight="1">
      <c r="A28" s="2" t="n">
        <v>27</v>
      </c>
      <c r="B28" s="3" t="inlineStr">
        <is>
          <t>20172395014.0</t>
        </is>
      </c>
      <c r="C28" s="3" t="inlineStr">
        <is>
          <t>NIDE</t>
        </is>
      </c>
      <c r="D28" s="3" t="inlineStr">
        <is>
          <t>Diseño de un prototipo para la clasificación automática de imágenes satelitales mediante algoritmos de Machine Learning</t>
        </is>
      </c>
      <c r="E28" s="4" t="n">
        <v>2024</v>
      </c>
      <c r="F28" s="3" t="inlineStr">
        <is>
          <t>Investigación</t>
        </is>
      </c>
      <c r="G28" s="3" t="inlineStr">
        <is>
          <t>Alvaro Enrique Ortiz Davila</t>
        </is>
      </c>
      <c r="H28" s="3" t="inlineStr">
        <is>
          <t>Hector Patiño</t>
        </is>
      </c>
      <c r="I28" s="3" t="inlineStr">
        <is>
          <t>2024-02-28</t>
        </is>
      </c>
      <c r="J28" s="3" t="n"/>
      <c r="K28" s="3" t="inlineStr">
        <is>
          <t>trabajos_grado_maestria_MCIC_2022_2026(1).xlsx | MCIC - Base de datos V2.xlsx</t>
        </is>
      </c>
      <c r="L28" s="3" t="inlineStr">
        <is>
          <t>Sustentado</t>
        </is>
      </c>
      <c r="M28" s="3" t="n"/>
    </row>
    <row r="29" ht="38.25" customHeight="1">
      <c r="A29" s="2" t="n">
        <v>28</v>
      </c>
      <c r="B29" s="3" t="inlineStr">
        <is>
          <t>20172395015.0</t>
        </is>
      </c>
      <c r="C29" s="3" t="inlineStr">
        <is>
          <t>NIDE</t>
        </is>
      </c>
      <c r="D29" s="3" t="inlineStr">
        <is>
          <t>Determinación del factor de cambio en el glaciar de la Sierra Nevada de Santa Marta, a partir de regiones en movimiento en bases de datos espacio temporales</t>
        </is>
      </c>
      <c r="E29" s="4" t="n">
        <v>2023</v>
      </c>
      <c r="F29" s="3" t="inlineStr">
        <is>
          <t>Investigación</t>
        </is>
      </c>
      <c r="G29" s="3" t="inlineStr">
        <is>
          <t>Alvaro Enrique Ortiz Davila</t>
        </is>
      </c>
      <c r="H29" s="3" t="inlineStr">
        <is>
          <t>Camilo Andres Porras Martín</t>
        </is>
      </c>
      <c r="I29" s="3" t="inlineStr">
        <is>
          <t>2023-11-01</t>
        </is>
      </c>
      <c r="J29" s="3" t="n"/>
      <c r="K29" s="3" t="inlineStr">
        <is>
          <t>trabajos_grado_maestria_MCIC_2022_2026(1).xlsx | MCIC - Base de datos V2.xlsx</t>
        </is>
      </c>
      <c r="L29" s="3" t="inlineStr">
        <is>
          <t>Sustentado</t>
        </is>
      </c>
      <c r="M29" s="3" t="n"/>
    </row>
    <row r="30" ht="38.25" customHeight="1">
      <c r="A30" s="2" t="n">
        <v>29</v>
      </c>
      <c r="B30" s="3" t="inlineStr">
        <is>
          <t>20172395002.0</t>
        </is>
      </c>
      <c r="C30" s="3" t="inlineStr">
        <is>
          <t>NIDE</t>
        </is>
      </c>
      <c r="D30" s="3" t="inlineStr">
        <is>
          <t>Análisis de las propuestas metodológicas de la agencia suiza y de catastro de Holanda para la modernización del sistema de información territorial en Colombia</t>
        </is>
      </c>
      <c r="E30" s="4" t="n">
        <v>2022</v>
      </c>
      <c r="F30" s="3" t="inlineStr">
        <is>
          <t>Investigación</t>
        </is>
      </c>
      <c r="G30" s="3" t="inlineStr">
        <is>
          <t>Jose Luis Herrera Escorcia</t>
        </is>
      </c>
      <c r="H30" s="3" t="inlineStr">
        <is>
          <t>Laura Juanita Becerra Garcia</t>
        </is>
      </c>
      <c r="I30" s="3" t="inlineStr">
        <is>
          <t>2022-12-16</t>
        </is>
      </c>
      <c r="J30" s="3" t="n"/>
      <c r="K30" s="3" t="inlineStr">
        <is>
          <t>trabajos_grado_maestria_MCIC_2022_2026(1).xlsx | MCIC - Base de datos V2.xlsx</t>
        </is>
      </c>
      <c r="L30" s="3" t="inlineStr">
        <is>
          <t>Sustentado</t>
        </is>
      </c>
      <c r="M30" s="3" t="n"/>
    </row>
    <row r="31">
      <c r="A31" s="2" t="n">
        <v>30</v>
      </c>
      <c r="B31" s="3" t="n"/>
      <c r="C31" s="3" t="inlineStr">
        <is>
          <t>NIDE</t>
        </is>
      </c>
      <c r="D31" s="3" t="inlineStr">
        <is>
          <t>Modelo semántico para trayectorias de puntos en movimiento</t>
        </is>
      </c>
      <c r="E31" s="4" t="n">
        <v>2022</v>
      </c>
      <c r="F31" s="3" t="n"/>
      <c r="G31" s="3" t="inlineStr">
        <is>
          <t>Alvaro Enrique Ortiz Davila</t>
        </is>
      </c>
      <c r="H31" s="3" t="inlineStr">
        <is>
          <t>Nelson David Martinez Aguirre</t>
        </is>
      </c>
      <c r="I31" s="3" t="n"/>
      <c r="J31" s="3" t="n"/>
      <c r="K31" s="3" t="inlineStr">
        <is>
          <t>trabajos_grado_maestria_MCIC_2022_2026(1).xlsx</t>
        </is>
      </c>
      <c r="L31" s="3" t="inlineStr">
        <is>
          <t>Sustentado</t>
        </is>
      </c>
      <c r="M31" s="3" t="n"/>
    </row>
    <row r="32" ht="63.75" customHeight="1">
      <c r="A32" s="2" t="n">
        <v>31</v>
      </c>
      <c r="B32" s="3" t="inlineStr">
        <is>
          <t>20152395001.0</t>
        </is>
      </c>
      <c r="C32" s="3" t="inlineStr">
        <is>
          <t>GEFEM</t>
        </is>
      </c>
      <c r="D32" s="3" t="inlineStr">
        <is>
          <t>Prueba Piloto para el levantamiento de información del RUD a través de plataforma móvil y visualización en visor geográfico</t>
        </is>
      </c>
      <c r="E32" s="4" t="n">
        <v>2022</v>
      </c>
      <c r="F32" s="3" t="inlineStr">
        <is>
          <t>Profundización</t>
        </is>
      </c>
      <c r="G32" s="3" t="inlineStr">
        <is>
          <t>Rubén Javier Medina Daza</t>
        </is>
      </c>
      <c r="H32" s="3" t="inlineStr">
        <is>
          <t>Diana Carolina Alvarado Vargas</t>
        </is>
      </c>
      <c r="I32" s="3" t="inlineStr">
        <is>
          <t>2022-03-10</t>
        </is>
      </c>
      <c r="J32" s="3" t="inlineStr">
        <is>
          <t>https://repository.udistrital.edu.co/items/8bc79c6f-e34b-44f0-96ec-be67dbe8d6f9</t>
        </is>
      </c>
      <c r="K32" s="3" t="inlineStr">
        <is>
          <t>Trabajos de Grado Avalados – Maestría en Ciencias de la Información y las Comunicaciones (2022–2026)(1).xlsx | MCIC - Base de datos V2.xlsx | Trabajos de Grado Avalados – Maestría en Ciencias de la Información y las Comunicaciones (2022–2026) (1).xlsx</t>
        </is>
      </c>
      <c r="L32" s="3" t="inlineStr">
        <is>
          <t>Sustentado</t>
        </is>
      </c>
      <c r="M32" s="3" t="n"/>
    </row>
    <row r="33" ht="51" customHeight="1">
      <c r="A33" s="2" t="n">
        <v>32</v>
      </c>
      <c r="B33" s="3" t="n"/>
      <c r="C33" s="3" t="inlineStr">
        <is>
          <t>GEFEM</t>
        </is>
      </c>
      <c r="D33" s="3" t="inlineStr">
        <is>
          <t>Modelo predictivo de erupciones volcánicas a partir de MODVOLC e interferometría de radar. Caso de estudio : Volcán Galeras</t>
        </is>
      </c>
      <c r="E33" s="4" t="n">
        <v>2022</v>
      </c>
      <c r="F33" s="3" t="n"/>
      <c r="G33" s="3" t="inlineStr">
        <is>
          <t>Rubén Javier Medina Daza</t>
        </is>
      </c>
      <c r="H33" s="3" t="inlineStr">
        <is>
          <t>Fabio Nicolás Luna Arevalo</t>
        </is>
      </c>
      <c r="I33" s="3" t="n"/>
      <c r="J33" s="3" t="inlineStr">
        <is>
          <t>https://repository.udistrital.edu.co/items/52a53df9-4179-4d61-bc66-eb06706c4662</t>
        </is>
      </c>
      <c r="K33" s="3" t="inlineStr">
        <is>
          <t>Trabajos de Grado Avalados – Maestría en Ciencias de la Información y las Comunicaciones (2022–2026)(1).xlsx | Trabajos de Grado Avalados – Maestría en Ciencias de la Información y las Comunicaciones (2022–2026) (1).xlsx</t>
        </is>
      </c>
      <c r="L33" s="3" t="inlineStr">
        <is>
          <t>Sustentado</t>
        </is>
      </c>
      <c r="M33" s="3" t="inlineStr">
        <is>
          <t>Grupo GEFEM confirmado mediante la base de trabajos avalados del grupo.</t>
        </is>
      </c>
    </row>
    <row r="34" ht="51" customHeight="1">
      <c r="A34" s="2" t="n">
        <v>33</v>
      </c>
      <c r="B34" s="3" t="n"/>
      <c r="C34" s="3" t="inlineStr">
        <is>
          <t>GEFEM</t>
        </is>
      </c>
      <c r="D34" s="3" t="inlineStr">
        <is>
          <t>Implementación de diferentes técnicas de clasificación de imágenes satelitales multiespectrales para la identificación de coberturas y zonificación del complejo de paramo de chingaza en la jurisdicción de la corporación autónoma regional del guavio corpoguavio</t>
        </is>
      </c>
      <c r="E34" s="4" t="n">
        <v>2022</v>
      </c>
      <c r="F34" s="3" t="n"/>
      <c r="G34" s="3" t="inlineStr">
        <is>
          <t>Rubén Javier Medina Daza</t>
        </is>
      </c>
      <c r="H34" s="3" t="inlineStr">
        <is>
          <t>German David Montoya Quintero</t>
        </is>
      </c>
      <c r="I34" s="3" t="n"/>
      <c r="J34" s="3" t="inlineStr">
        <is>
          <t>https://repository.udistrital.edu.co/items/c5d54668-e454-4b9d-8cb6-3da6f1355eeb</t>
        </is>
      </c>
      <c r="K34" s="3" t="inlineStr">
        <is>
          <t>Trabajos de Grado Avalados – Maestría en Ciencias de la Información y las Comunicaciones (2022–2026)(1).xlsx | Trabajos de Grado Avalados – Maestría en Ciencias de la Información y las Comunicaciones (2022–2026) (1).xlsx</t>
        </is>
      </c>
      <c r="L34" s="3" t="inlineStr">
        <is>
          <t>Sustentado</t>
        </is>
      </c>
      <c r="M34" s="3" t="inlineStr">
        <is>
          <t>Grupo GEFEM confirmado mediante la base de trabajos avalados del grupo.</t>
        </is>
      </c>
    </row>
    <row r="35" ht="63.75" customHeight="1">
      <c r="A35" s="2" t="n">
        <v>34</v>
      </c>
      <c r="B35" s="3" t="inlineStr">
        <is>
          <t>20192395010.0</t>
        </is>
      </c>
      <c r="C35" s="3" t="inlineStr">
        <is>
          <t>GEFEM</t>
        </is>
      </c>
      <c r="D35" s="3" t="inlineStr">
        <is>
          <t>Metodología para la generación (detección y clasificación) de cambios de cobertura de la tierra mediante el análisis de imágenes multilaterales basada en algoritmos de deep learning</t>
        </is>
      </c>
      <c r="E35" s="4" t="n">
        <v>2022</v>
      </c>
      <c r="F35" s="3" t="inlineStr">
        <is>
          <t>Investigación</t>
        </is>
      </c>
      <c r="G35" s="3" t="inlineStr">
        <is>
          <t>Erika Sofia Upegui Cardona; Oscar Javier Espejo Valero</t>
        </is>
      </c>
      <c r="H35" s="3" t="inlineStr">
        <is>
          <t>Maycol Alejandro Zaraza Aguilera</t>
        </is>
      </c>
      <c r="I35" s="3" t="inlineStr">
        <is>
          <t>2022-04-06</t>
        </is>
      </c>
      <c r="J35" s="3" t="inlineStr">
        <is>
          <t>https://repository.udistrital.edu.co/items/c3500c5d-4d3c-4468-a110-c05d9c1e7c7b</t>
        </is>
      </c>
      <c r="K35" s="3" t="inlineStr">
        <is>
          <t>Trabajos de Grado Avalados – Maestría en Ciencias de la Información y las Comunicaciones (2022–2026)(1).xlsx | MCIC - Base de datos V2.xlsx | Trabajos de Grado Avalados – Maestría en Ciencias de la Información y las Comunicaciones (2022–2026) (1).xlsx</t>
        </is>
      </c>
      <c r="L35" s="3" t="inlineStr">
        <is>
          <t>Sustentado</t>
        </is>
      </c>
      <c r="M35" s="3" t="n"/>
    </row>
    <row r="36" ht="51" customHeight="1">
      <c r="A36" s="2" t="n">
        <v>35</v>
      </c>
      <c r="B36" s="3" t="n"/>
      <c r="C36" s="3" t="inlineStr">
        <is>
          <t>GEFEM</t>
        </is>
      </c>
      <c r="D36" s="3" t="inlineStr">
        <is>
          <t>Metodología para identificar frailejón mediante el uso de imágenes de radar: una herramienta para la conservación ambiental</t>
        </is>
      </c>
      <c r="E36" s="4" t="n">
        <v>2022</v>
      </c>
      <c r="F36" s="3" t="n"/>
      <c r="G36" s="3" t="inlineStr">
        <is>
          <t>Luis Eduardo Castillo Mendez</t>
        </is>
      </c>
      <c r="H36" s="3" t="inlineStr">
        <is>
          <t>Jonathan Said Sandoval Lagos</t>
        </is>
      </c>
      <c r="I36" s="3" t="n"/>
      <c r="J36" s="3" t="inlineStr">
        <is>
          <t>https://repository.udistrital.edu.co/items/b0f71ac7-9180-4518-b082-892ad4a54ab7</t>
        </is>
      </c>
      <c r="K36" s="3" t="inlineStr">
        <is>
          <t>Trabajos de Grado Avalados – Maestría en Ciencias de la Información y las Comunicaciones (2022–2026)(1).xlsx | Trabajos de Grado Avalados – Maestría en Ciencias de la Información y las Comunicaciones (2022–2026) (1).xlsx</t>
        </is>
      </c>
      <c r="L36" s="3" t="inlineStr">
        <is>
          <t>Sustentado</t>
        </is>
      </c>
      <c r="M36" s="3" t="inlineStr">
        <is>
          <t>Grupo GEFEM confirmado mediante la base de trabajos avalados del grupo.</t>
        </is>
      </c>
    </row>
    <row r="37" ht="51" customHeight="1">
      <c r="A37" s="2" t="n">
        <v>36</v>
      </c>
      <c r="B37" s="3" t="n"/>
      <c r="C37" s="3" t="inlineStr">
        <is>
          <t>GEFEM</t>
        </is>
      </c>
      <c r="D37" s="3" t="inlineStr">
        <is>
          <t>Análisis exploratorio espacio-temporal de la delincuencia en Colombia asociada al hurto de vehículos entre los años 2010-2019 mediante la integración de técnicas de minería de datos, Geoestadística y SIG</t>
        </is>
      </c>
      <c r="E37" s="4" t="n">
        <v>2022</v>
      </c>
      <c r="F37" s="3" t="n"/>
      <c r="G37" s="3" t="inlineStr">
        <is>
          <t>Luis Eduardo Castillo Mendez</t>
        </is>
      </c>
      <c r="H37" s="3" t="inlineStr">
        <is>
          <t>Gabriel Hernán González Buitrago</t>
        </is>
      </c>
      <c r="I37" s="3" t="n"/>
      <c r="J37" s="3" t="inlineStr">
        <is>
          <t>https://repository.udistrital.edu.co/items/12dcf76f-fbc0-4501-9dd0-b7a9071a14ef</t>
        </is>
      </c>
      <c r="K37" s="3" t="inlineStr">
        <is>
          <t>Trabajos de Grado Avalados – Maestría en Ciencias de la Información y las Comunicaciones (2022–2026)(1).xlsx | Trabajos de Grado Avalados – Maestría en Ciencias de la Información y las Comunicaciones (2022–2026) (1).xlsx</t>
        </is>
      </c>
      <c r="L37" s="3" t="inlineStr">
        <is>
          <t>Sustentado</t>
        </is>
      </c>
      <c r="M37" s="3" t="inlineStr">
        <is>
          <t>Grupo GEFEM confirmado mediante la base de trabajos avalados del grupo.</t>
        </is>
      </c>
    </row>
    <row r="38" ht="63.75" customHeight="1">
      <c r="A38" s="2" t="n">
        <v>37</v>
      </c>
      <c r="B38" s="3" t="inlineStr">
        <is>
          <t>20081295008.0</t>
        </is>
      </c>
      <c r="C38" s="3" t="inlineStr">
        <is>
          <t>GEFEM</t>
        </is>
      </c>
      <c r="D38" s="3" t="inlineStr">
        <is>
          <t>Predicción de zonas de riesgo de filariasis linfática en el territorio colombiano a partir de modelos de distribución de especies basados en máxima entropía</t>
        </is>
      </c>
      <c r="E38" s="4" t="n">
        <v>2022</v>
      </c>
      <c r="F38" s="3" t="inlineStr">
        <is>
          <t>Profundización</t>
        </is>
      </c>
      <c r="G38" s="3" t="inlineStr">
        <is>
          <t>Luis Eduardo Castillo Mendez</t>
        </is>
      </c>
      <c r="H38" s="3" t="inlineStr">
        <is>
          <t>Marino Mauricio Mejía Rocha</t>
        </is>
      </c>
      <c r="I38" s="3" t="inlineStr">
        <is>
          <t>2022-09-05</t>
        </is>
      </c>
      <c r="J38" s="3" t="inlineStr">
        <is>
          <t>https://repository.udistrital.edu.co/items/1a0ea8e4-1fd9-4387-8de1-18674d6febf9</t>
        </is>
      </c>
      <c r="K38" s="3" t="inlineStr">
        <is>
          <t>Trabajos de Grado Avalados – Maestría en Ciencias de la Información y las Comunicaciones (2022–2026)(1).xlsx | MCIC - Base de datos V2.xlsx | Trabajos de Grado Avalados – Maestría en Ciencias de la Información y las Comunicaciones (2022–2026) (1).xlsx</t>
        </is>
      </c>
      <c r="L38" s="3" t="inlineStr">
        <is>
          <t>Sustentado</t>
        </is>
      </c>
      <c r="M38" s="3" t="n"/>
    </row>
    <row r="39" ht="51" customHeight="1">
      <c r="A39" s="2" t="n">
        <v>38</v>
      </c>
      <c r="B39" s="3" t="n"/>
      <c r="C39" s="3" t="inlineStr">
        <is>
          <t>GEFEM</t>
        </is>
      </c>
      <c r="D39" s="3" t="inlineStr">
        <is>
          <t>Estimación de áreas afectadas por incendios en la Reserva Forestal Protectora Bosque Oriental De Bogotá. Usando imágenes satelitales Sentinel- 2, basado en objetos geográficos (GEOBIA)</t>
        </is>
      </c>
      <c r="E39" s="4" t="n">
        <v>2023</v>
      </c>
      <c r="F39" s="3" t="n"/>
      <c r="G39" s="3" t="inlineStr">
        <is>
          <t>Rubén Javier Medina Daza</t>
        </is>
      </c>
      <c r="H39" s="3" t="inlineStr">
        <is>
          <t>Nadia Luz Suárez Albarracín</t>
        </is>
      </c>
      <c r="I39" s="3" t="n"/>
      <c r="J39" s="3" t="inlineStr">
        <is>
          <t>https://repository.udistrital.edu.co/items/ad964cde-54bf-4bf3-aefd-6c2b9b829827</t>
        </is>
      </c>
      <c r="K39" s="3" t="inlineStr">
        <is>
          <t>Trabajos de Grado Avalados – Maestría en Ciencias de la Información y las Comunicaciones (2022–2026)(1).xlsx | Trabajos de Grado Avalados – Maestría en Ciencias de la Información y las Comunicaciones (2022–2026) (1).xlsx</t>
        </is>
      </c>
      <c r="L39" s="3" t="inlineStr">
        <is>
          <t>Sustentado</t>
        </is>
      </c>
      <c r="M39" s="3" t="inlineStr">
        <is>
          <t>Grupo GEFEM confirmado mediante la base de trabajos avalados del grupo.</t>
        </is>
      </c>
    </row>
    <row r="40" ht="63.75" customHeight="1">
      <c r="A40" s="2" t="n">
        <v>39</v>
      </c>
      <c r="B40" s="3" t="inlineStr">
        <is>
          <t>20162395003.0</t>
        </is>
      </c>
      <c r="C40" s="3" t="inlineStr">
        <is>
          <t>GEFEM</t>
        </is>
      </c>
      <c r="D40" s="3" t="inlineStr">
        <is>
          <t>Generación e implementación de una metodología para el análisis espacial de restricciones y condicionantes a derechos de uso y propiedad de la tierra sobre predios objeto de regularización, formalización, acceso y restitución de tierras en Colombia</t>
        </is>
      </c>
      <c r="E40" s="4" t="n">
        <v>2023</v>
      </c>
      <c r="F40" s="3" t="inlineStr">
        <is>
          <t>Profundización</t>
        </is>
      </c>
      <c r="G40" s="3" t="inlineStr">
        <is>
          <t>Luis Eduardo Castillo Mendez</t>
        </is>
      </c>
      <c r="H40" s="3" t="inlineStr">
        <is>
          <t>Oscar Javier Castillo Castellanos</t>
        </is>
      </c>
      <c r="I40" s="3" t="inlineStr">
        <is>
          <t>Acta 031-2022</t>
        </is>
      </c>
      <c r="J40" s="3" t="inlineStr">
        <is>
          <t>https://repository.udistrital.edu.co/items/b6380126-e379-4ca8-82e0-dbd2a410e7e3</t>
        </is>
      </c>
      <c r="K40" s="3" t="inlineStr">
        <is>
          <t>Trabajos de Grado Avalados – Maestría en Ciencias de la Información y las Comunicaciones (2022–2026)(1).xlsx | MCIC - Base de datos V2.xlsx | Trabajos de Grado Avalados – Maestría en Ciencias de la Información y las Comunicaciones (2022–2026) (1).xlsx</t>
        </is>
      </c>
      <c r="L40" s="3" t="inlineStr">
        <is>
          <t>Sustentado</t>
        </is>
      </c>
      <c r="M40" s="3" t="inlineStr">
        <is>
          <t>Grupo GEFEM confirmado mediante la base de trabajos avalados del grupo.</t>
        </is>
      </c>
    </row>
    <row r="41" ht="63.75" customHeight="1">
      <c r="A41" s="2" t="n">
        <v>40</v>
      </c>
      <c r="B41" s="3" t="inlineStr">
        <is>
          <t>20161395002.0</t>
        </is>
      </c>
      <c r="C41" s="3" t="inlineStr">
        <is>
          <t>GEFEM</t>
        </is>
      </c>
      <c r="D41" s="3" t="inlineStr">
        <is>
          <t>Modelo de espacio de estados para describir cambios en el área de cobertura del páramo de Chingaza</t>
        </is>
      </c>
      <c r="E41" s="4" t="n">
        <v>2023</v>
      </c>
      <c r="F41" s="3" t="inlineStr">
        <is>
          <t>Investigación</t>
        </is>
      </c>
      <c r="G41" s="3" t="inlineStr">
        <is>
          <t>Luis Eduardo Castillo Mendez</t>
        </is>
      </c>
      <c r="H41" s="3" t="inlineStr">
        <is>
          <t>Oscar Abrahan Cabiativa Sánchez</t>
        </is>
      </c>
      <c r="I41" s="3" t="inlineStr">
        <is>
          <t>2022-03-14</t>
        </is>
      </c>
      <c r="J41" s="3" t="inlineStr">
        <is>
          <t>https://repository.udistrital.edu.co/items/c635a1df-487f-459d-a5bf-976ce29b6a4c</t>
        </is>
      </c>
      <c r="K41" s="3" t="inlineStr">
        <is>
          <t>Trabajos de Grado Avalados – Maestría en Ciencias de la Información y las Comunicaciones (2022–2026)(1).xlsx | MCIC - Base de datos V2.xlsx | Trabajos de Grado Avalados – Maestría en Ciencias de la Información y las Comunicaciones (2022–2026) (1).xlsx</t>
        </is>
      </c>
      <c r="L41" s="3" t="inlineStr">
        <is>
          <t>Sustentado</t>
        </is>
      </c>
      <c r="M41" s="3" t="inlineStr">
        <is>
          <t>Grupo GEFEM confirmado mediante la base de trabajos avalados del grupo.</t>
        </is>
      </c>
    </row>
    <row r="42" ht="63.75" customHeight="1">
      <c r="A42" s="2" t="n">
        <v>41</v>
      </c>
      <c r="B42" s="3" t="inlineStr">
        <is>
          <t>20211395001.0</t>
        </is>
      </c>
      <c r="C42" s="3" t="inlineStr">
        <is>
          <t>GEFEM</t>
        </is>
      </c>
      <c r="D42" s="3" t="inlineStr">
        <is>
          <t>Estimación de la severidad de incendios, usando imágenes satelitales Landsat para el Parque Nacional Natural El Tuparro entre los años 2013 a 2023</t>
        </is>
      </c>
      <c r="E42" s="4" t="n">
        <v>2024</v>
      </c>
      <c r="F42" s="3" t="inlineStr">
        <is>
          <t>Profundización</t>
        </is>
      </c>
      <c r="G42" s="3" t="inlineStr">
        <is>
          <t>Rubén Javier Medina Daza</t>
        </is>
      </c>
      <c r="H42" s="3" t="inlineStr">
        <is>
          <t>Oscar Fernando Borda Casas</t>
        </is>
      </c>
      <c r="I42" s="3" t="inlineStr">
        <is>
          <t>2024-11-13</t>
        </is>
      </c>
      <c r="J42" s="3" t="inlineStr">
        <is>
          <t>https://repository.udistrital.edu.co/items/9ceef8a3-96da-46f2-8d82-40fbf6efdb9b</t>
        </is>
      </c>
      <c r="K42" s="3" t="inlineStr">
        <is>
          <t>Trabajos de Grado Avalados – Maestría en Ciencias de la Información y las Comunicaciones (2022–2026)(1).xlsx | MCIC - Base de datos V2.xlsx | Trabajos de Grado Avalados – Maestría en Ciencias de la Información y las Comunicaciones (2022–2026) (1).xlsx</t>
        </is>
      </c>
      <c r="L42" s="3" t="inlineStr">
        <is>
          <t>Sustentado</t>
        </is>
      </c>
      <c r="M42" s="3" t="n"/>
    </row>
    <row r="43" ht="51" customHeight="1">
      <c r="A43" s="2" t="n">
        <v>42</v>
      </c>
      <c r="B43" s="3" t="n"/>
      <c r="C43" s="3" t="inlineStr">
        <is>
          <t>GEFEM</t>
        </is>
      </c>
      <c r="D43" s="3" t="inlineStr">
        <is>
          <t>Predicción de la incidencia epidemiológica del dengue en Colombia utilizando una Red Neuronal Recurrente a partir de información captada por sensores remotos</t>
        </is>
      </c>
      <c r="E43" s="4" t="n">
        <v>2024</v>
      </c>
      <c r="F43" s="3" t="n"/>
      <c r="G43" s="3" t="inlineStr">
        <is>
          <t>Rubén Javier Medina Daza</t>
        </is>
      </c>
      <c r="H43" s="3" t="inlineStr">
        <is>
          <t>Daniel Fernando Silva Avila</t>
        </is>
      </c>
      <c r="I43" s="3" t="n"/>
      <c r="J43" s="3" t="inlineStr">
        <is>
          <t>https://repository.udistrital.edu.co/items/f2a528d0-9fb9-4000-8ada-14cd262655a3</t>
        </is>
      </c>
      <c r="K43" s="3" t="inlineStr">
        <is>
          <t>Trabajos de Grado Avalados – Maestría en Ciencias de la Información y las Comunicaciones (2022–2026)(1).xlsx | Trabajos de Grado Avalados – Maestría en Ciencias de la Información y las Comunicaciones (2022–2026) (1).xlsx</t>
        </is>
      </c>
      <c r="L43" s="3" t="inlineStr">
        <is>
          <t>Sustentado</t>
        </is>
      </c>
      <c r="M43" s="3" t="inlineStr">
        <is>
          <t>Grupo GEFEM confirmado mediante la base de trabajos avalados del grupo.</t>
        </is>
      </c>
    </row>
    <row r="44" ht="63.75" customHeight="1">
      <c r="A44" s="2" t="n">
        <v>43</v>
      </c>
      <c r="B44" s="3" t="inlineStr">
        <is>
          <t>20182395011.0</t>
        </is>
      </c>
      <c r="C44" s="3" t="inlineStr">
        <is>
          <t>GEFEM</t>
        </is>
      </c>
      <c r="D44" s="3" t="inlineStr">
        <is>
          <t>Análisis espacial de la fragmentación urbana basado en la destinación económica predominante por manzana en Bogotá D.C.</t>
        </is>
      </c>
      <c r="E44" s="4" t="n">
        <v>2024</v>
      </c>
      <c r="F44" s="3" t="inlineStr">
        <is>
          <t>Investigación</t>
        </is>
      </c>
      <c r="G44" s="3" t="inlineStr">
        <is>
          <t>Luis Eduardo Castillo Mendez</t>
        </is>
      </c>
      <c r="H44" s="3" t="inlineStr">
        <is>
          <t>Juan Manuel Moreno Gama</t>
        </is>
      </c>
      <c r="I44" s="3" t="inlineStr">
        <is>
          <t>2024-11-13</t>
        </is>
      </c>
      <c r="J44" s="3" t="inlineStr">
        <is>
          <t>https://repository.udistrital.edu.co/items/e1ec5ae6-ddae-4dd9-8c04-899006a4e261</t>
        </is>
      </c>
      <c r="K44" s="3" t="inlineStr">
        <is>
          <t>Trabajos de Grado Avalados – Maestría en Ciencias de la Información y las Comunicaciones (2022–2026)(1).xlsx | MCIC - Base de datos V2.xlsx | Trabajos de Grado Avalados – Maestría en Ciencias de la Información y las Comunicaciones (2022–2026) (1).xlsx</t>
        </is>
      </c>
      <c r="L44" s="3" t="inlineStr">
        <is>
          <t>Sustentado</t>
        </is>
      </c>
      <c r="M44" s="3" t="n"/>
    </row>
    <row r="45" ht="63.75" customHeight="1">
      <c r="A45" s="2" t="n">
        <v>44</v>
      </c>
      <c r="B45" s="3" t="inlineStr">
        <is>
          <t>20191495030.0</t>
        </is>
      </c>
      <c r="C45" s="3" t="inlineStr">
        <is>
          <t>GEFEM</t>
        </is>
      </c>
      <c r="D45" s="3" t="inlineStr">
        <is>
          <t>Metodología para la valoración de riesgos de proyectos de software en Colombia</t>
        </is>
      </c>
      <c r="E45" s="4" t="n">
        <v>2024</v>
      </c>
      <c r="F45" s="3" t="inlineStr">
        <is>
          <t>Profundización</t>
        </is>
      </c>
      <c r="G45" s="3" t="inlineStr">
        <is>
          <t>Luis Eduardo Castillo Mendez; Octavio José Salcedo Parra</t>
        </is>
      </c>
      <c r="H45" s="3" t="inlineStr">
        <is>
          <t>Javier Alberto Quiroga Ruiz</t>
        </is>
      </c>
      <c r="I45" s="3" t="inlineStr">
        <is>
          <t>2024-09-25</t>
        </is>
      </c>
      <c r="J45" s="3" t="inlineStr">
        <is>
          <t>https://repository.udistrital.edu.co/items/8fdfe1f9-9c11-48bc-9050-bf5e901cc972</t>
        </is>
      </c>
      <c r="K45" s="3" t="inlineStr">
        <is>
          <t>Trabajos de Grado Avalados – Maestría en Ciencias de la Información y las Comunicaciones (2022–2026)(1).xlsx | MCIC - Base de datos V2.xlsx | Trabajos de Grado Avalados – Maestría en Ciencias de la Información y las Comunicaciones (2022–2026) (1).xlsx</t>
        </is>
      </c>
      <c r="L45" s="3" t="inlineStr">
        <is>
          <t>Sustentado</t>
        </is>
      </c>
      <c r="M45" s="3" t="inlineStr">
        <is>
          <t>Diferencia entre fuentes: registro previamente asociado a INTERNET INTELIGENTE; la base remitida por GEFEM lo reporta como trabajo avalado por GEFEM.</t>
        </is>
      </c>
    </row>
    <row r="46" ht="63.75" customHeight="1">
      <c r="A46" s="2" t="n">
        <v>45</v>
      </c>
      <c r="B46" s="3" t="inlineStr">
        <is>
          <t>20221395003.0</t>
        </is>
      </c>
      <c r="C46" s="3" t="inlineStr">
        <is>
          <t>GEFEM</t>
        </is>
      </c>
      <c r="D46" s="3" t="inlineStr">
        <is>
          <t>Desarrollo de un prototipo de modelo catastral 3d a partir de herramientas de geoprocesamiento para la visualización de los aspectos legales y físicos en una propiedad horizontal en el municipio de Soacha, Cundinamarca</t>
        </is>
      </c>
      <c r="E46" s="4" t="n">
        <v>2025</v>
      </c>
      <c r="F46" s="3" t="inlineStr">
        <is>
          <t>Profundización</t>
        </is>
      </c>
      <c r="G46" s="3" t="inlineStr">
        <is>
          <t>Luis Eduardo Castillo Mendez</t>
        </is>
      </c>
      <c r="H46" s="3" t="inlineStr">
        <is>
          <t>Laura Camila Cumbe Loaiza</t>
        </is>
      </c>
      <c r="I46" s="3" t="inlineStr">
        <is>
          <t>2025-06-10</t>
        </is>
      </c>
      <c r="J46" s="3" t="inlineStr">
        <is>
          <t>https://repository.udistrital.edu.co/items/9fced2ff-bb71-4bf1-b984-a648887abc2f</t>
        </is>
      </c>
      <c r="K46" s="3" t="inlineStr">
        <is>
          <t>Trabajos de Grado Avalados – Maestría en Ciencias de la Información y las Comunicaciones (2022–2026)(1).xlsx | MCIC - Base de datos V2.xlsx | Trabajos de Grado Avalados – Maestría en Ciencias de la Información y las Comunicaciones (2022–2026) (1).xlsx</t>
        </is>
      </c>
      <c r="L46" s="3" t="inlineStr">
        <is>
          <t>Sustentado</t>
        </is>
      </c>
      <c r="M46" s="3" t="n"/>
    </row>
    <row r="47" ht="63.75" customHeight="1">
      <c r="A47" s="2" t="n">
        <v>46</v>
      </c>
      <c r="B47" s="3" t="inlineStr">
        <is>
          <t>20221395002.0</t>
        </is>
      </c>
      <c r="C47" s="3" t="inlineStr">
        <is>
          <t>GEFEM</t>
        </is>
      </c>
      <c r="D47" s="3" t="inlineStr">
        <is>
          <t>Metodología para la evaluación de los incendios de la vegetación en la Sierra de la Macarena utilizando técnicas de análisis de imágenes basadas en objetos geográficos y árboles de decisión</t>
        </is>
      </c>
      <c r="E47" s="4" t="n">
        <v>2025</v>
      </c>
      <c r="F47" s="3" t="inlineStr">
        <is>
          <t>Profundización</t>
        </is>
      </c>
      <c r="G47" s="3" t="inlineStr">
        <is>
          <t>Rubén Javier Medina Daza</t>
        </is>
      </c>
      <c r="H47" s="3" t="inlineStr">
        <is>
          <t>Gonzalo Cabezas Martín</t>
        </is>
      </c>
      <c r="I47" s="3" t="inlineStr">
        <is>
          <t>2025-10-16</t>
        </is>
      </c>
      <c r="J47" s="3" t="inlineStr">
        <is>
          <t>https://repository.udistrital.edu.co/items/13ed26d1-9b1a-4eeb-9ce6-b67b095a5b29</t>
        </is>
      </c>
      <c r="K47" s="3" t="inlineStr">
        <is>
          <t>Trabajos de Grado Avalados – Maestría en Ciencias de la Información y las Comunicaciones (2022–2026)(1).xlsx | MCIC - Base de datos V2.xlsx | Trabajos de Grado Avalados – Maestría en Ciencias de la Información y las Comunicaciones (2022–2026) (1).xlsx</t>
        </is>
      </c>
      <c r="L47" s="3" t="inlineStr">
        <is>
          <t>Sustentado</t>
        </is>
      </c>
      <c r="M47" s="3" t="n"/>
    </row>
    <row r="48" ht="76.5" customHeight="1">
      <c r="A48" s="2" t="n">
        <v>47</v>
      </c>
      <c r="B48" s="3" t="inlineStr">
        <is>
          <t>20181395001.0</t>
        </is>
      </c>
      <c r="C48" s="3" t="inlineStr">
        <is>
          <t>GEFEM</t>
        </is>
      </c>
      <c r="D48" s="3" t="inlineStr">
        <is>
          <t>MODELO DE PREDICCIÓN DE PROCESOS DE REMOCIÓN EN MASA, PARA EL MUNICIPIO DE CÁQUEZA CUNDINAMARCA, USANDO IMÁGENES DE RADAR QUE PERMITAN MÉTODO DINSAR</t>
        </is>
      </c>
      <c r="E48" s="4" t="n">
        <v>2026</v>
      </c>
      <c r="F48" s="3" t="inlineStr">
        <is>
          <t>Investigación</t>
        </is>
      </c>
      <c r="G48" s="3" t="inlineStr">
        <is>
          <t>Erika Sofía Upegui Cardona</t>
        </is>
      </c>
      <c r="H48" s="3" t="inlineStr">
        <is>
          <t>Julieth Natalia Acosta</t>
        </is>
      </c>
      <c r="I48" s="3" t="inlineStr">
        <is>
          <t>2026-07-30 | Acta 026-2026</t>
        </is>
      </c>
      <c r="J48" s="3" t="inlineStr">
        <is>
          <t>https://repository.udistrital.edu.co/items/e0a3df2d-4395-46ed-96ec-9489a44ad7c7</t>
        </is>
      </c>
      <c r="K48" s="3" t="inlineStr">
        <is>
          <t>Trabajos de Grado Avalados – Maestría en Ciencias de la Información y las Comunicaciones (2022–2026)(1).xlsx | MCIC - Base de datos INVESTIGACION.xlsx | Programación sustentaciones.xlsx | Trabajos de Grado Avalados – Maestría en Ciencias de la Información y las Comunicaciones (2022–2026) (1).xlsx</t>
        </is>
      </c>
      <c r="L48" s="3" t="inlineStr">
        <is>
          <t>Sustentado</t>
        </is>
      </c>
      <c r="M48" s="3" t="n"/>
    </row>
    <row r="49" ht="25.5" customHeight="1">
      <c r="A49" s="2" t="n">
        <v>48</v>
      </c>
      <c r="B49" s="3" t="n"/>
      <c r="C49" s="3" t="inlineStr">
        <is>
          <t>GRECO</t>
        </is>
      </c>
      <c r="D49" s="3" t="inlineStr">
        <is>
          <t>Generación de señales WDM utilizado fuentes anchas y multiplexación por división de polarización para sistemas de radio sobre fibra</t>
        </is>
      </c>
      <c r="E49" s="4" t="n">
        <v>2022</v>
      </c>
      <c r="F49" s="3" t="n"/>
      <c r="G49" s="3" t="inlineStr">
        <is>
          <t>Gustavo Adolfo Puerto Leguizamón</t>
        </is>
      </c>
      <c r="H49" s="3" t="inlineStr">
        <is>
          <t>Manuel Cely Mancipe</t>
        </is>
      </c>
      <c r="I49" s="3" t="n"/>
      <c r="J49" s="3" t="n"/>
      <c r="K49" s="3" t="inlineStr">
        <is>
          <t>Trabajos_Grado_Maestria_GRECO_2022-2026(1).xlsx</t>
        </is>
      </c>
      <c r="L49" s="3" t="inlineStr">
        <is>
          <t>Sustentado</t>
        </is>
      </c>
      <c r="M49" s="3" t="n"/>
    </row>
    <row r="50" ht="25.5" customHeight="1">
      <c r="A50" s="2" t="n">
        <v>49</v>
      </c>
      <c r="B50" s="3" t="n"/>
      <c r="C50" s="3" t="inlineStr">
        <is>
          <t>GRECO</t>
        </is>
      </c>
      <c r="D50" s="3" t="inlineStr">
        <is>
          <t>Diseño de un sistema centralizado de transmisión de portadoras de radiofrecuencia basado en radio sobre fibra futuras redes 5G</t>
        </is>
      </c>
      <c r="E50" s="4" t="n">
        <v>2023</v>
      </c>
      <c r="F50" s="3" t="n"/>
      <c r="G50" s="3" t="inlineStr">
        <is>
          <t>Gustavo Adolfo Puerto Leguizamón</t>
        </is>
      </c>
      <c r="H50" s="3" t="inlineStr">
        <is>
          <t>Luis Miguel Ibarra Paez</t>
        </is>
      </c>
      <c r="I50" s="3" t="n"/>
      <c r="J50" s="3" t="n"/>
      <c r="K50" s="3" t="inlineStr">
        <is>
          <t>Trabajos_Grado_Maestria_GRECO_2022-2026(1).xlsx</t>
        </is>
      </c>
      <c r="L50" s="3" t="inlineStr">
        <is>
          <t>Sustentado</t>
        </is>
      </c>
      <c r="M50" s="3" t="n"/>
    </row>
    <row r="51" ht="25.5" customHeight="1">
      <c r="A51" s="2" t="n">
        <v>50</v>
      </c>
      <c r="B51" s="3" t="n"/>
      <c r="C51" s="3" t="inlineStr">
        <is>
          <t>GRECO</t>
        </is>
      </c>
      <c r="D51" s="3" t="inlineStr">
        <is>
          <t>Análisis de un modelo de volcado de tráfico de redes móviles convencionales hacia un sistema de Voz sobre WiFi-VoWiFi</t>
        </is>
      </c>
      <c r="E51" s="4" t="n">
        <v>2023</v>
      </c>
      <c r="F51" s="3" t="n"/>
      <c r="G51" s="3" t="inlineStr">
        <is>
          <t>Gustavo Adolfo Puerto Leguizamón</t>
        </is>
      </c>
      <c r="H51" s="3" t="inlineStr">
        <is>
          <t>Rafael Oswaldo Muñoz Ortiz</t>
        </is>
      </c>
      <c r="I51" s="3" t="n"/>
      <c r="J51" s="3" t="n"/>
      <c r="K51" s="3" t="inlineStr">
        <is>
          <t>Trabajos_Grado_Maestria_GRECO_2022-2026(1).xlsx</t>
        </is>
      </c>
      <c r="L51" s="3" t="inlineStr">
        <is>
          <t>Sustentado</t>
        </is>
      </c>
      <c r="M51" s="3" t="n"/>
    </row>
    <row r="52">
      <c r="A52" s="2" t="n">
        <v>51</v>
      </c>
      <c r="B52" s="3" t="n"/>
      <c r="C52" s="3" t="inlineStr">
        <is>
          <t>GRECO</t>
        </is>
      </c>
      <c r="D52" s="3" t="inlineStr">
        <is>
          <t>Modelo de perfil de índice para fibra óptica de pocos modos</t>
        </is>
      </c>
      <c r="E52" s="4" t="n">
        <v>2023</v>
      </c>
      <c r="F52" s="3" t="n"/>
      <c r="G52" s="3" t="inlineStr">
        <is>
          <t>Gustavo Adolfo Puerto Leguizamón</t>
        </is>
      </c>
      <c r="H52" s="3" t="inlineStr">
        <is>
          <t>Manuel Romero Peña</t>
        </is>
      </c>
      <c r="I52" s="3" t="n"/>
      <c r="J52" s="3" t="n"/>
      <c r="K52" s="3" t="inlineStr">
        <is>
          <t>Trabajos_Grado_Maestria_GRECO_2022-2026(1).xlsx</t>
        </is>
      </c>
      <c r="L52" s="3" t="inlineStr">
        <is>
          <t>Sustentado</t>
        </is>
      </c>
      <c r="M52" s="3" t="n"/>
    </row>
    <row r="53" ht="25.5" customHeight="1">
      <c r="A53" s="2" t="n">
        <v>52</v>
      </c>
      <c r="B53" s="3" t="inlineStr">
        <is>
          <t>20152195016.0</t>
        </is>
      </c>
      <c r="C53" s="3" t="inlineStr">
        <is>
          <t>GRECO</t>
        </is>
      </c>
      <c r="D53" s="3" t="inlineStr">
        <is>
          <t>Análisis y diseño de una red de sensores ópticos distribuidos de larga distancia basada en red de difracción de Bragg</t>
        </is>
      </c>
      <c r="E53" s="4" t="n">
        <v>2023</v>
      </c>
      <c r="F53" s="3" t="inlineStr">
        <is>
          <t>Investigación</t>
        </is>
      </c>
      <c r="G53" s="3" t="inlineStr">
        <is>
          <t>Gustavo Adolfo Puerto Leguizamón</t>
        </is>
      </c>
      <c r="H53" s="3" t="inlineStr">
        <is>
          <t>Yeny Katherine Muñoz Nuñez</t>
        </is>
      </c>
      <c r="I53" s="3" t="inlineStr">
        <is>
          <t>Año de grado 2023</t>
        </is>
      </c>
      <c r="J53" s="3" t="n"/>
      <c r="K53" s="3" t="inlineStr">
        <is>
          <t>Trabajos_Grado_Maestria_GRECO_2022-2026(1).xlsx | MCIC - Base de datos V2.xlsx</t>
        </is>
      </c>
      <c r="L53" s="3" t="inlineStr">
        <is>
          <t>Sustentado</t>
        </is>
      </c>
      <c r="M53" s="3" t="n"/>
    </row>
    <row r="54" ht="25.5" customHeight="1">
      <c r="A54" s="2" t="n">
        <v>53</v>
      </c>
      <c r="B54" s="3" t="n"/>
      <c r="C54" s="3" t="inlineStr">
        <is>
          <t>GRECO</t>
        </is>
      </c>
      <c r="D54" s="3" t="inlineStr">
        <is>
          <t>Análisis e implementación de arquitectura para monitoreo de uso de tableros en QuickSight AWS</t>
        </is>
      </c>
      <c r="E54" s="4" t="n">
        <v>2022</v>
      </c>
      <c r="F54" s="3" t="n"/>
      <c r="G54" s="3" t="inlineStr">
        <is>
          <t>Gustavo Adolfo Puerto Leguizamón</t>
        </is>
      </c>
      <c r="H54" s="3" t="inlineStr">
        <is>
          <t>Juan David Arias</t>
        </is>
      </c>
      <c r="I54" s="3" t="n"/>
      <c r="J54" s="3" t="n"/>
      <c r="K54" s="3" t="inlineStr">
        <is>
          <t>Trabajos_Grado_Maestria_GRECO_2022-2026(1).xlsx</t>
        </is>
      </c>
      <c r="L54" s="3" t="inlineStr">
        <is>
          <t>Sustentado</t>
        </is>
      </c>
      <c r="M54" s="3" t="n"/>
    </row>
    <row r="55" ht="25.5" customHeight="1">
      <c r="A55" s="2" t="n">
        <v>54</v>
      </c>
      <c r="B55" s="3" t="n"/>
      <c r="C55" s="3" t="inlineStr">
        <is>
          <t>GRECO</t>
        </is>
      </c>
      <c r="D55" s="3" t="inlineStr">
        <is>
          <t>Diseño de una red de acceso basada en GPON/SCM para el transporte de datos móviles en tecnología 5G</t>
        </is>
      </c>
      <c r="E55" s="4" t="n">
        <v>2022</v>
      </c>
      <c r="F55" s="3" t="n"/>
      <c r="G55" s="3" t="inlineStr">
        <is>
          <t>Gustavo Adolfo Puerto Leguizamón</t>
        </is>
      </c>
      <c r="H55" s="3" t="inlineStr">
        <is>
          <t>Daniel Eduardo Romero Melo</t>
        </is>
      </c>
      <c r="I55" s="3" t="n"/>
      <c r="J55" s="3" t="n"/>
      <c r="K55" s="3" t="inlineStr">
        <is>
          <t>Trabajos_Grado_Maestria_GRECO_2022-2026(1).xlsx</t>
        </is>
      </c>
      <c r="L55" s="3" t="inlineStr">
        <is>
          <t>Sustentado</t>
        </is>
      </c>
      <c r="M55" s="3" t="n"/>
    </row>
    <row r="56" ht="25.5" customHeight="1">
      <c r="A56" s="2" t="n">
        <v>55</v>
      </c>
      <c r="B56" s="3" t="n"/>
      <c r="C56" s="3" t="inlineStr">
        <is>
          <t>GRECO</t>
        </is>
      </c>
      <c r="D56" s="3" t="inlineStr">
        <is>
          <t>Diseño de red SCM/DWDM con detección coherente para aplicaciones 5G en banda milimétrica</t>
        </is>
      </c>
      <c r="E56" s="4" t="n">
        <v>2022</v>
      </c>
      <c r="F56" s="3" t="n"/>
      <c r="G56" s="3" t="inlineStr">
        <is>
          <t>Gustavo Adolfo Puerto Leguizamón</t>
        </is>
      </c>
      <c r="H56" s="3" t="inlineStr">
        <is>
          <t>Jeisson Farid Rodríguez</t>
        </is>
      </c>
      <c r="I56" s="3" t="n"/>
      <c r="J56" s="3" t="n"/>
      <c r="K56" s="3" t="inlineStr">
        <is>
          <t>Trabajos_Grado_Maestria_GRECO_2022-2026(1).xlsx</t>
        </is>
      </c>
      <c r="L56" s="3" t="inlineStr">
        <is>
          <t>Sustentado</t>
        </is>
      </c>
      <c r="M56" s="3" t="n"/>
    </row>
    <row r="57" ht="25.5" customHeight="1">
      <c r="A57" s="2" t="n">
        <v>56</v>
      </c>
      <c r="B57" s="3" t="inlineStr">
        <is>
          <t>20121195003.0</t>
        </is>
      </c>
      <c r="C57" s="3" t="inlineStr">
        <is>
          <t>GITUD</t>
        </is>
      </c>
      <c r="D57" s="3" t="inlineStr">
        <is>
          <t>Optimización de la operación de una microrred rural aislada enfocada en costos.</t>
        </is>
      </c>
      <c r="E57" s="4" t="n">
        <v>2022</v>
      </c>
      <c r="F57" s="3" t="inlineStr">
        <is>
          <t>Investigación</t>
        </is>
      </c>
      <c r="G57" s="3" t="inlineStr">
        <is>
          <t>Elvis Eduardo Gaona García</t>
        </is>
      </c>
      <c r="H57" s="3" t="inlineStr">
        <is>
          <t>Jaime Antonio Avila Sanchez</t>
        </is>
      </c>
      <c r="I57" s="3" t="inlineStr">
        <is>
          <t>2022-12-12</t>
        </is>
      </c>
      <c r="J57" s="3" t="n"/>
      <c r="K57" s="3" t="inlineStr">
        <is>
          <t>Trabajos de Grado Maestía CIC-Grupo GITUD(1).xlsx | MCIC - Base de datos V2.xlsx</t>
        </is>
      </c>
      <c r="L57" s="3" t="inlineStr">
        <is>
          <t>Sustentado</t>
        </is>
      </c>
      <c r="M57" s="3" t="n"/>
    </row>
    <row r="58" ht="38.25" customHeight="1">
      <c r="A58" s="2" t="n">
        <v>57</v>
      </c>
      <c r="B58" s="3" t="inlineStr">
        <is>
          <t>20191195005.0</t>
        </is>
      </c>
      <c r="C58" s="3" t="inlineStr">
        <is>
          <t>GITUD</t>
        </is>
      </c>
      <c r="D58" s="3" t="inlineStr">
        <is>
          <t>Diseño e implementación de un algoritmoy una plataforma para el análisisdescriptivo y predictivo de la producciónenergética de la turbina HAWT-VGbioinspirada en plumas dorsales dehalcón peregrino.</t>
        </is>
      </c>
      <c r="E58" s="4" t="n">
        <v>2023</v>
      </c>
      <c r="F58" s="3" t="inlineStr">
        <is>
          <t>Investigación</t>
        </is>
      </c>
      <c r="G58" s="3" t="inlineStr">
        <is>
          <t>Elvis Eduardo Gaona García</t>
        </is>
      </c>
      <c r="H58" s="3" t="inlineStr">
        <is>
          <t>Andrés Camilo López García</t>
        </is>
      </c>
      <c r="I58" s="3" t="inlineStr">
        <is>
          <t>2023-02-24</t>
        </is>
      </c>
      <c r="J58" s="3" t="n"/>
      <c r="K58" s="3" t="inlineStr">
        <is>
          <t>Trabajos de Grado Maestía CIC-Grupo GITUD(1).xlsx | MCIC - Base de datos V2.xlsx</t>
        </is>
      </c>
      <c r="L58" s="3" t="inlineStr">
        <is>
          <t>Sustentado</t>
        </is>
      </c>
      <c r="M58" s="3" t="n"/>
    </row>
    <row r="59" ht="38.25" customHeight="1">
      <c r="A59" s="2" t="n">
        <v>58</v>
      </c>
      <c r="B59" s="3" t="n"/>
      <c r="C59" s="3" t="inlineStr">
        <is>
          <t>GITUD</t>
        </is>
      </c>
      <c r="D59" s="3" t="inlineStr">
        <is>
          <t>Metodología comparativa para modelos de lenguaje de gran tamaño y algorítmos de aprendizaje automático usando internet de las cosas y computación en la nube con aplicaciones en predicción meteorológica.</t>
        </is>
      </c>
      <c r="E59" s="4" t="n">
        <v>2024</v>
      </c>
      <c r="F59" s="3" t="n"/>
      <c r="G59" s="3" t="inlineStr">
        <is>
          <t>Elvis Eduardo Gaona García</t>
        </is>
      </c>
      <c r="H59" s="3" t="inlineStr">
        <is>
          <t>Ivan Dario Bello González</t>
        </is>
      </c>
      <c r="I59" s="3" t="n"/>
      <c r="J59" s="3" t="n"/>
      <c r="K59" s="3" t="inlineStr">
        <is>
          <t>Trabajos de Grado Maestía CIC-Grupo GITUD(1).xlsx</t>
        </is>
      </c>
      <c r="L59" s="3" t="inlineStr">
        <is>
          <t>Sustentado</t>
        </is>
      </c>
      <c r="M59" s="3" t="n"/>
    </row>
    <row r="60" ht="25.5" customHeight="1">
      <c r="A60" s="2" t="n">
        <v>59</v>
      </c>
      <c r="B60" s="3" t="inlineStr">
        <is>
          <t>20182495014.0</t>
        </is>
      </c>
      <c r="C60" s="3" t="inlineStr">
        <is>
          <t>GITUD</t>
        </is>
      </c>
      <c r="D60" s="3" t="inlineStr">
        <is>
          <t>Diseño de metodología para validar la integridad de la información de las transacciones de los contratos inteligentes empleando cifrado homomófico.</t>
        </is>
      </c>
      <c r="E60" s="4" t="n">
        <v>2024</v>
      </c>
      <c r="F60" s="3" t="inlineStr">
        <is>
          <t>Investigación</t>
        </is>
      </c>
      <c r="G60" s="3" t="inlineStr">
        <is>
          <t>Elvis Eduardo Gaona García</t>
        </is>
      </c>
      <c r="H60" s="3" t="inlineStr">
        <is>
          <t>Jawy Romero Pinto</t>
        </is>
      </c>
      <c r="I60" s="3" t="inlineStr">
        <is>
          <t>2024-12-09</t>
        </is>
      </c>
      <c r="J60" s="3" t="n"/>
      <c r="K60" s="3" t="inlineStr">
        <is>
          <t>Trabajos de Grado Maestía CIC-Grupo GITUD(1).xlsx | MCIC - Base de datos V2.xlsx</t>
        </is>
      </c>
      <c r="L60" s="3" t="inlineStr">
        <is>
          <t>Sustentado</t>
        </is>
      </c>
      <c r="M60" s="3" t="n"/>
    </row>
    <row r="61" ht="25.5" customHeight="1">
      <c r="A61" s="2" t="n">
        <v>60</v>
      </c>
      <c r="B61" s="3" t="inlineStr">
        <is>
          <t>20191195007.0</t>
        </is>
      </c>
      <c r="C61" s="3" t="inlineStr">
        <is>
          <t>GITUD</t>
        </is>
      </c>
      <c r="D61" s="3" t="inlineStr">
        <is>
          <t>Modelo de análisis de Vulnerabilidades aplicado a sistemas de navegación y telemetría presentes en RPAs.</t>
        </is>
      </c>
      <c r="E61" s="4" t="n">
        <v>2024</v>
      </c>
      <c r="F61" s="3" t="inlineStr">
        <is>
          <t>Investigación</t>
        </is>
      </c>
      <c r="G61" s="3" t="inlineStr">
        <is>
          <t>Elvis Eduardo Gaona García</t>
        </is>
      </c>
      <c r="H61" s="3" t="inlineStr">
        <is>
          <t>Wilmar Neiser Rengifo</t>
        </is>
      </c>
      <c r="I61" s="3" t="inlineStr">
        <is>
          <t>2024-12-09</t>
        </is>
      </c>
      <c r="J61" s="3" t="n"/>
      <c r="K61" s="3" t="inlineStr">
        <is>
          <t>Trabajos de Grado Maestía CIC-Grupo GITUD(1).xlsx | MCIC - Base de datos V2.xlsx</t>
        </is>
      </c>
      <c r="L61" s="3" t="inlineStr">
        <is>
          <t>Sustentado</t>
        </is>
      </c>
      <c r="M61" s="3" t="n"/>
    </row>
    <row r="62" ht="38.25" customHeight="1">
      <c r="A62" s="2" t="n">
        <v>61</v>
      </c>
      <c r="B62" s="3" t="inlineStr">
        <is>
          <t>20171495007.0</t>
        </is>
      </c>
      <c r="C62" s="3" t="inlineStr">
        <is>
          <t>GITUD</t>
        </is>
      </c>
      <c r="D62" s="3" t="inlineStr">
        <is>
          <t>Modelo para evaluar el impacto que tienen las variables climatológicas y de calidad de aire en la eficiencia de los paneles solares.</t>
        </is>
      </c>
      <c r="E62" s="4" t="n">
        <v>2025</v>
      </c>
      <c r="F62" s="3" t="inlineStr">
        <is>
          <t>Investigación</t>
        </is>
      </c>
      <c r="G62" s="3" t="inlineStr">
        <is>
          <t>Elvis Eduardo Gaona García</t>
        </is>
      </c>
      <c r="H62" s="3" t="inlineStr">
        <is>
          <t>Luis Carrillo Mejía</t>
        </is>
      </c>
      <c r="I62" s="3" t="inlineStr">
        <is>
          <t>2025-06-13</t>
        </is>
      </c>
      <c r="J62" s="3" t="n"/>
      <c r="K62" s="3" t="inlineStr">
        <is>
          <t>Trabajos de Grado Maestía CIC-Grupo GITUD(1).xlsx | MCIC - Base de datos INVESTIGACION.xlsx</t>
        </is>
      </c>
      <c r="L62" s="3" t="inlineStr">
        <is>
          <t>Sustentado</t>
        </is>
      </c>
      <c r="M62" s="3" t="inlineStr">
        <is>
          <t>Validar grupo: fuente anterior registra GITUD y la nueva base registra GIIRA. Año actualizado de 2024 a 2025 según fecha de sustentación.</t>
        </is>
      </c>
    </row>
    <row r="63" ht="25.5" customHeight="1">
      <c r="A63" s="2" t="n">
        <v>62</v>
      </c>
      <c r="B63" s="3" t="n"/>
      <c r="C63" s="3" t="inlineStr">
        <is>
          <t>GITEM</t>
        </is>
      </c>
      <c r="D63" s="3" t="inlineStr">
        <is>
          <t>Un concepto de desarrollo económico</t>
        </is>
      </c>
      <c r="E63" s="4" t="n">
        <v>2024</v>
      </c>
      <c r="F63" s="3" t="n"/>
      <c r="G63" s="3" t="inlineStr">
        <is>
          <t>JAIME HERNANDO PENA RODRIGUEZ</t>
        </is>
      </c>
      <c r="H63" s="3" t="inlineStr">
        <is>
          <t>EDISON RAMIREZ TOVAR</t>
        </is>
      </c>
      <c r="I63" s="3" t="n"/>
      <c r="J63" s="3" t="n"/>
      <c r="K63" s="3" t="inlineStr">
        <is>
          <t>Trabajos_Grado_Completos_GITEM(1).xlsx</t>
        </is>
      </c>
      <c r="L63" s="3" t="inlineStr">
        <is>
          <t>Sustentado</t>
        </is>
      </c>
      <c r="M63" s="3" t="n"/>
    </row>
    <row r="64" ht="25.5" customHeight="1">
      <c r="A64" s="2" t="n">
        <v>63</v>
      </c>
      <c r="B64" s="3" t="inlineStr">
        <is>
          <t>20142295002.0</t>
        </is>
      </c>
      <c r="C64" s="3" t="inlineStr">
        <is>
          <t>COMPLEX UD</t>
        </is>
      </c>
      <c r="D64" s="3" t="inlineStr">
        <is>
          <t>PREDICCIÓN DE INDICADORES ECONÓMICOS A TRAVES DE NOTICIAS USÁNDO RSS, MINERÍA DE TEXTO E INTELIGENCIA COMPUTACIONAL.</t>
        </is>
      </c>
      <c r="E64" s="4" t="n">
        <v>2023</v>
      </c>
      <c r="F64" s="3" t="inlineStr">
        <is>
          <t>Investigación</t>
        </is>
      </c>
      <c r="G64" s="3" t="inlineStr">
        <is>
          <t>Deicy Alvarado</t>
        </is>
      </c>
      <c r="H64" s="3" t="inlineStr">
        <is>
          <t>CRISTIAN JHONATAN IZQUIERDO ORTIZ</t>
        </is>
      </c>
      <c r="I64" s="3" t="inlineStr">
        <is>
          <t>2023-11-03</t>
        </is>
      </c>
      <c r="J64" s="3" t="n"/>
      <c r="K64" s="3" t="inlineStr">
        <is>
          <t>MCIC - Base de datos V2.xlsx — N-A Investigación</t>
        </is>
      </c>
      <c r="L64" s="3" t="inlineStr">
        <is>
          <t>Sustentado</t>
        </is>
      </c>
      <c r="M64" s="3" t="n"/>
    </row>
    <row r="65" ht="25.5" customHeight="1">
      <c r="A65" s="2" t="n">
        <v>64</v>
      </c>
      <c r="B65" s="3" t="inlineStr">
        <is>
          <t>20161495001.0</t>
        </is>
      </c>
      <c r="C65" s="3" t="inlineStr">
        <is>
          <t>ARMOS</t>
        </is>
      </c>
      <c r="D65" s="3" t="inlineStr">
        <is>
          <t>“MODELO DE IDENTIDAD DIGITAL PARA DOCUMENTOS ADMINISTRATIVOS MEDIANTE FIRMA ELECTRONICA Y BLOCKCHAIN”</t>
        </is>
      </c>
      <c r="E65" s="4" t="n">
        <v>2023</v>
      </c>
      <c r="F65" s="3" t="inlineStr">
        <is>
          <t>Investigación</t>
        </is>
      </c>
      <c r="G65" s="3" t="inlineStr">
        <is>
          <t>Edward Jacinto Gomez</t>
        </is>
      </c>
      <c r="H65" s="3" t="inlineStr">
        <is>
          <t>ARCOS MUÑOZ NOÉ</t>
        </is>
      </c>
      <c r="I65" s="3" t="inlineStr">
        <is>
          <t>2023-03-16</t>
        </is>
      </c>
      <c r="J65" s="3" t="n"/>
      <c r="K65" s="3" t="inlineStr">
        <is>
          <t>MCIC - Base de datos V2.xlsx — N-A Investigación</t>
        </is>
      </c>
      <c r="L65" s="3" t="inlineStr">
        <is>
          <t>Sustentado</t>
        </is>
      </c>
      <c r="M65" s="3" t="n"/>
    </row>
    <row r="66" ht="25.5" customHeight="1">
      <c r="A66" s="2" t="n">
        <v>65</v>
      </c>
      <c r="B66" s="3" t="inlineStr">
        <is>
          <t>20161495009.0</t>
        </is>
      </c>
      <c r="C66" s="3" t="inlineStr">
        <is>
          <t>GITEM</t>
        </is>
      </c>
      <c r="D66" s="3" t="inlineStr">
        <is>
          <t>Aplicación de autómatas celulares y algoritmos genéticos en la creación de una técnica estenográfica.</t>
        </is>
      </c>
      <c r="E66" s="4" t="n">
        <v>2023</v>
      </c>
      <c r="F66" s="3" t="inlineStr">
        <is>
          <t>Investigación</t>
        </is>
      </c>
      <c r="G66" s="3" t="inlineStr">
        <is>
          <t>Lilia Edith Aparicio Pico</t>
        </is>
      </c>
      <c r="H66" s="3" t="inlineStr">
        <is>
          <t>GUERRERO CALDERÓN ÁRNOL</t>
        </is>
      </c>
      <c r="I66" s="3" t="inlineStr">
        <is>
          <t>2023-09-14</t>
        </is>
      </c>
      <c r="J66" s="3" t="n"/>
      <c r="K66" s="3" t="inlineStr">
        <is>
          <t>MCIC - Base de datos V2.xlsx — N-A Investigación</t>
        </is>
      </c>
      <c r="L66" s="3" t="inlineStr">
        <is>
          <t>Sustentado</t>
        </is>
      </c>
      <c r="M66" s="3" t="n"/>
    </row>
    <row r="67" ht="38.25" customHeight="1">
      <c r="A67" s="2" t="n">
        <v>66</v>
      </c>
      <c r="B67" s="3" t="inlineStr">
        <is>
          <t>20162195003.0</t>
        </is>
      </c>
      <c r="C67" s="3" t="inlineStr">
        <is>
          <t>Bionanotecnología</t>
        </is>
      </c>
      <c r="D67" s="3" t="inlineStr">
        <is>
          <t>DISEÑO DE UNA INTERFAZ DIGITAL INTERPRETADORA DE BRAILLE PARA FACILITAR LA COMUNICACIÓN EFECTIVA DOCENTE – ALUMNO- DOCENTE EN LA INSTITUCIÓN EDUCATIVA TECNOLÓGICO DE MADRID.</t>
        </is>
      </c>
      <c r="E67" s="4" t="n">
        <v>2023</v>
      </c>
      <c r="F67" s="3" t="inlineStr">
        <is>
          <t>Investigación</t>
        </is>
      </c>
      <c r="G67" s="3" t="inlineStr">
        <is>
          <t>Edmundo Vega</t>
        </is>
      </c>
      <c r="H67" s="3" t="inlineStr">
        <is>
          <t>BELTRÁN GARCIA JORGE ELIECER</t>
        </is>
      </c>
      <c r="I67" s="3" t="inlineStr">
        <is>
          <t>2023-08-28</t>
        </is>
      </c>
      <c r="J67" s="3" t="n"/>
      <c r="K67" s="3" t="inlineStr">
        <is>
          <t>MCIC - Base de datos V2.xlsx — N-A Investigación</t>
        </is>
      </c>
      <c r="L67" s="3" t="inlineStr">
        <is>
          <t>Sustentado</t>
        </is>
      </c>
      <c r="M67" s="3" t="n"/>
    </row>
    <row r="68" ht="38.25" customHeight="1">
      <c r="A68" s="2" t="n">
        <v>67</v>
      </c>
      <c r="B68" s="3" t="inlineStr">
        <is>
          <t>20162495006.0</t>
        </is>
      </c>
      <c r="C68" s="3" t="inlineStr">
        <is>
          <t>ITI</t>
        </is>
      </c>
      <c r="D68" s="3" t="inlineStr">
        <is>
          <t>GENERACIÓN SEMIAUTOMATICA DE APLCIACIONES WEB USANDO CADENAS DE
TRASNFORMACIÓN DE MODELOS</t>
        </is>
      </c>
      <c r="E68" s="4" t="n">
        <v>2023</v>
      </c>
      <c r="F68" s="3" t="inlineStr">
        <is>
          <t>Investigación</t>
        </is>
      </c>
      <c r="G68" s="3" t="inlineStr">
        <is>
          <t>Hector Arturo Florez Hernandez</t>
        </is>
      </c>
      <c r="H68" s="3" t="inlineStr">
        <is>
          <t>GARAY GONZALEZ LADY VIVIANA</t>
        </is>
      </c>
      <c r="I68" s="3" t="inlineStr">
        <is>
          <t>2023-05-07</t>
        </is>
      </c>
      <c r="J68" s="3" t="n"/>
      <c r="K68" s="3" t="inlineStr">
        <is>
          <t>MCIC - Base de datos V2.xlsx — N-A Investigación</t>
        </is>
      </c>
      <c r="L68" s="3" t="inlineStr">
        <is>
          <t>Sustentado</t>
        </is>
      </c>
      <c r="M68" s="3" t="n"/>
    </row>
    <row r="69" ht="38.25" customHeight="1">
      <c r="A69" s="2" t="n">
        <v>68</v>
      </c>
      <c r="B69" s="3" t="inlineStr">
        <is>
          <t>20171195001.0</t>
        </is>
      </c>
      <c r="C69" s="3" t="inlineStr">
        <is>
          <t>GIIRA</t>
        </is>
      </c>
      <c r="D69" s="3" t="inlineStr">
        <is>
          <t>DESARROLLO DE UN PROTOTIPO DE SISTEMA PARA EL APOYO EN LA MOVILIDAD AUTÓNOMA DE PERSONAS INVIDENTES EN EXTERIORES</t>
        </is>
      </c>
      <c r="E69" s="4" t="n">
        <v>2024</v>
      </c>
      <c r="F69" s="3" t="inlineStr">
        <is>
          <t>Investigación</t>
        </is>
      </c>
      <c r="G69" s="3" t="inlineStr">
        <is>
          <t>Carlos Enrique Montenegro Marin</t>
        </is>
      </c>
      <c r="H69" s="3" t="inlineStr">
        <is>
          <t>JOSE AGUSTIN AREVALO SILVA</t>
        </is>
      </c>
      <c r="I69" s="3" t="inlineStr">
        <is>
          <t>2024-03-13</t>
        </is>
      </c>
      <c r="J69" s="3" t="n"/>
      <c r="K69" s="3" t="inlineStr">
        <is>
          <t>MCIC - Base de datos V2.xlsx — N-A Investigación</t>
        </is>
      </c>
      <c r="L69" s="3" t="inlineStr">
        <is>
          <t>Sustentado</t>
        </is>
      </c>
      <c r="M69" s="3" t="n"/>
    </row>
    <row r="70" ht="63.75" customHeight="1">
      <c r="A70" s="2" t="n">
        <v>70</v>
      </c>
      <c r="B70" s="3" t="inlineStr">
        <is>
          <t>20172495009.0</t>
        </is>
      </c>
      <c r="C70" s="3" t="inlineStr">
        <is>
          <t>GICOGE</t>
        </is>
      </c>
      <c r="D70" s="3" t="inlineStr">
        <is>
          <t>MODELO DE ASEGURAMIENTO DE LA CALIDAD DE DATOS FORESTALES EN EL MARCO DE LOS OBJETIVOS DE DESARROLLO SOSTENIBLE</t>
        </is>
      </c>
      <c r="E70" s="4" t="n">
        <v>2024</v>
      </c>
      <c r="F70" s="3" t="inlineStr">
        <is>
          <t>Investigación</t>
        </is>
      </c>
      <c r="G70" s="3" t="inlineStr">
        <is>
          <t>Beitmantt Cardenas</t>
        </is>
      </c>
      <c r="H70" s="3" t="inlineStr">
        <is>
          <t>GONZALEZ GONZALEZ DIANA SOFIA</t>
        </is>
      </c>
      <c r="I70" s="3" t="inlineStr">
        <is>
          <t>2024-02-26</t>
        </is>
      </c>
      <c r="J70" s="3" t="n"/>
      <c r="K70" s="3" t="inlineStr">
        <is>
          <t>MCIC - Base de datos V2.xlsx — N-A Investigación</t>
        </is>
      </c>
      <c r="L70" s="3" t="inlineStr">
        <is>
          <t>Sustentado</t>
        </is>
      </c>
      <c r="M70" s="3" t="n"/>
    </row>
    <row r="71" ht="38.25" customHeight="1">
      <c r="A71" s="2" t="n">
        <v>71</v>
      </c>
      <c r="B71" s="3" t="inlineStr">
        <is>
          <t>20181195010.0</t>
        </is>
      </c>
      <c r="C71" s="3" t="inlineStr">
        <is>
          <t>LASER</t>
        </is>
      </c>
      <c r="D71" s="3" t="inlineStr">
        <is>
          <t>MODELO PARA CLASIFICACIÓN DE PRECIPITACIONES ESTRATIFORMES Y CONVECTIVAS EN ZONA ECUATORIAL USANDO DATOS DE RADARES METEOROLÓGICOS.</t>
        </is>
      </c>
      <c r="E71" s="4" t="n">
        <v>2024</v>
      </c>
      <c r="F71" s="3" t="inlineStr">
        <is>
          <t>Investigación</t>
        </is>
      </c>
      <c r="G71" s="3" t="inlineStr">
        <is>
          <t>Cesar Andrey Perdomo Charry</t>
        </is>
      </c>
      <c r="H71" s="3" t="inlineStr">
        <is>
          <t>ROMERO ORTEGA RAUL</t>
        </is>
      </c>
      <c r="I71" s="3" t="inlineStr">
        <is>
          <t>2024-08-20</t>
        </is>
      </c>
      <c r="J71" s="3" t="n"/>
      <c r="K71" s="3" t="inlineStr">
        <is>
          <t>MCIC - Base de datos V2.xlsx — N-A Investigación</t>
        </is>
      </c>
      <c r="L71" s="3" t="inlineStr">
        <is>
          <t>Sustentado</t>
        </is>
      </c>
      <c r="M71" s="3" t="n"/>
    </row>
    <row r="72" ht="38.25" customHeight="1">
      <c r="A72" s="2" t="n">
        <v>72</v>
      </c>
      <c r="B72" s="3" t="inlineStr">
        <is>
          <t>20181395006.0</t>
        </is>
      </c>
      <c r="C72" s="3" t="inlineStr">
        <is>
          <t>LASER LAMIC</t>
        </is>
      </c>
      <c r="D72" s="3" t="inlineStr">
        <is>
          <t>EXTRACCION DE CONTEXTO GEOGRAFICO A PARTIR DE NLP PARA INFORMACION DE TRANSITO EN REDES SOCIALES</t>
        </is>
      </c>
      <c r="E72" s="4" t="n">
        <v>2022</v>
      </c>
      <c r="F72" s="3" t="inlineStr">
        <is>
          <t>Investigación</t>
        </is>
      </c>
      <c r="G72" s="3" t="inlineStr">
        <is>
          <t>Cesar Andrey Perdomo Charry</t>
        </is>
      </c>
      <c r="H72" s="3" t="inlineStr">
        <is>
          <t>ROBLES MONDRAGON DUVAN ALEXANDER</t>
        </is>
      </c>
      <c r="I72" s="3" t="inlineStr">
        <is>
          <t>2022-01-12</t>
        </is>
      </c>
      <c r="J72" s="3" t="n"/>
      <c r="K72" s="3" t="inlineStr">
        <is>
          <t>MCIC - Base de datos V2.xlsx — N-A Investigación</t>
        </is>
      </c>
      <c r="L72" s="3" t="inlineStr">
        <is>
          <t>Sustentado</t>
        </is>
      </c>
      <c r="M72" s="3" t="n"/>
    </row>
    <row r="73" ht="25.5" customHeight="1">
      <c r="A73" s="2" t="n">
        <v>73</v>
      </c>
      <c r="B73" s="3" t="inlineStr">
        <is>
          <t>20182495011.0</t>
        </is>
      </c>
      <c r="C73" s="3" t="inlineStr">
        <is>
          <t>INTECSE</t>
        </is>
      </c>
      <c r="D73" s="3" t="inlineStr">
        <is>
          <t>METAMODELO SOFTWARE DE SIMULACION REMOTA INTERACTIVA EN AMBIENTE WEB</t>
        </is>
      </c>
      <c r="E73" s="4" t="n">
        <v>2025</v>
      </c>
      <c r="F73" s="3" t="inlineStr">
        <is>
          <t>Investigación</t>
        </is>
      </c>
      <c r="G73" s="3" t="inlineStr">
        <is>
          <t>Julio Baron Velandia</t>
        </is>
      </c>
      <c r="H73" s="3" t="inlineStr">
        <is>
          <t>PIÑEROS RAMIREZ JEISSON RODRIGO</t>
        </is>
      </c>
      <c r="I73" s="3" t="inlineStr">
        <is>
          <t>2025-02-26</t>
        </is>
      </c>
      <c r="J73" s="3" t="n"/>
      <c r="K73" s="3" t="inlineStr">
        <is>
          <t>MCIC - Base de datos V2.xlsx — N-A Investigación</t>
        </is>
      </c>
      <c r="L73" s="3" t="inlineStr">
        <is>
          <t>Sustentado</t>
        </is>
      </c>
      <c r="M73" s="3" t="n"/>
    </row>
    <row r="74" ht="25.5" customHeight="1">
      <c r="A74" s="2" t="n">
        <v>74</v>
      </c>
      <c r="B74" s="3" t="inlineStr">
        <is>
          <t>20191395010.0</t>
        </is>
      </c>
      <c r="C74" s="3" t="inlineStr">
        <is>
          <t>NIDE</t>
        </is>
      </c>
      <c r="D74" s="3" t="inlineStr">
        <is>
          <t>ANÁLISIS DE PRECIPITACIONES CON MODELOS PREDICTIVOS A PARTIR DE LA INTERRELACIÓN DE SERIES DE TIEMPO Y GEOESTADÍSTICA PARA EL DEPARTAMENTO DE CUNDINAMARCA</t>
        </is>
      </c>
      <c r="E74" s="4" t="n">
        <v>2022</v>
      </c>
      <c r="F74" s="3" t="inlineStr">
        <is>
          <t>Investigación</t>
        </is>
      </c>
      <c r="G74" s="3" t="inlineStr">
        <is>
          <t>Carlos Eduardo Melo</t>
        </is>
      </c>
      <c r="H74" s="3" t="inlineStr">
        <is>
          <t>RAYO BERMUDEZ KAREN YULIETH</t>
        </is>
      </c>
      <c r="I74" s="3" t="inlineStr">
        <is>
          <t>2022-08-31</t>
        </is>
      </c>
      <c r="J74" s="3" t="n"/>
      <c r="K74" s="3" t="inlineStr">
        <is>
          <t>MCIC - Base de datos V2.xlsx — N-A Investigación</t>
        </is>
      </c>
      <c r="L74" s="3" t="inlineStr">
        <is>
          <t>Sustentado</t>
        </is>
      </c>
      <c r="M74" s="3" t="n"/>
    </row>
    <row r="75" ht="38.25" customHeight="1">
      <c r="A75" s="2" t="n">
        <v>75</v>
      </c>
      <c r="B75" s="3" t="inlineStr">
        <is>
          <t>20191495017.0</t>
        </is>
      </c>
      <c r="C75" s="3" t="inlineStr">
        <is>
          <t>GICOGE</t>
        </is>
      </c>
      <c r="D75" s="3" t="inlineStr">
        <is>
          <t>Análisis de minería de datos y desarrollo de software con inteligencia artificial enfocado a la detección de perfiles de aprobaciones de visas para estados unidos</t>
        </is>
      </c>
      <c r="E75" s="4" t="n">
        <v>2025</v>
      </c>
      <c r="F75" s="3" t="inlineStr">
        <is>
          <t>Investigación</t>
        </is>
      </c>
      <c r="G75" s="3" t="inlineStr">
        <is>
          <t>Victor Hugo Medina Garcia</t>
        </is>
      </c>
      <c r="H75" s="3" t="inlineStr">
        <is>
          <t>NOVOA PERALTA LEONARDO ANDRÉS</t>
        </is>
      </c>
      <c r="I75" s="3" t="inlineStr">
        <is>
          <t>2025-06-16</t>
        </is>
      </c>
      <c r="J75" s="3" t="n"/>
      <c r="K75" s="3" t="inlineStr">
        <is>
          <t>MCIC - Base de datos V2.xlsx — N-A Investigación</t>
        </is>
      </c>
      <c r="L75" s="3" t="inlineStr">
        <is>
          <t>Sustentado</t>
        </is>
      </c>
      <c r="M75" s="3" t="n"/>
    </row>
    <row r="76" ht="38.25" customHeight="1">
      <c r="A76" s="2" t="n">
        <v>76</v>
      </c>
      <c r="B76" s="3" t="inlineStr">
        <is>
          <t>20192395012.0</t>
        </is>
      </c>
      <c r="C76" s="3" t="inlineStr">
        <is>
          <t>GICOECOL</t>
        </is>
      </c>
      <c r="D76" s="3" t="inlineStr">
        <is>
          <t>GEOAR, INTEGRACION DE MODELOS DIGITALES DE ELEVACION EN AMBIENTES DE REALIDAD AUMENTADA</t>
        </is>
      </c>
      <c r="E76" s="4" t="n">
        <v>2022</v>
      </c>
      <c r="F76" s="3" t="inlineStr">
        <is>
          <t>Investigación</t>
        </is>
      </c>
      <c r="G76" s="3" t="inlineStr">
        <is>
          <t>Alexandra Abuchar</t>
        </is>
      </c>
      <c r="H76" s="3" t="inlineStr">
        <is>
          <t>SUÁREZ RODRÍGUEZ JUAN MANUEL</t>
        </is>
      </c>
      <c r="I76" s="3" t="inlineStr">
        <is>
          <t>2022-04-26</t>
        </is>
      </c>
      <c r="J76" s="3" t="n"/>
      <c r="K76" s="3" t="inlineStr">
        <is>
          <t>MCIC - Base de datos V2.xlsx — N-A Investigación</t>
        </is>
      </c>
      <c r="L76" s="3" t="inlineStr">
        <is>
          <t>Sustentado</t>
        </is>
      </c>
      <c r="M76" s="3" t="n"/>
    </row>
    <row r="77" ht="25.5" customHeight="1">
      <c r="A77" s="2" t="n">
        <v>77</v>
      </c>
      <c r="B77" s="3" t="inlineStr">
        <is>
          <t>20192495007.0</t>
        </is>
      </c>
      <c r="C77" s="3" t="inlineStr">
        <is>
          <t>ITI</t>
        </is>
      </c>
      <c r="D77" s="3" t="inlineStr">
        <is>
          <t>MODELO COMPUTACIONAL DE LA REACCION POR SEÑALES ELECTRICAS DE UNA RED COMPLEJA DE NEURONAS DEL SISTEMA NERVIOSO DEL GUSANO CAENORHABBITIS ELEGANS</t>
        </is>
      </c>
      <c r="E77" s="4" t="n">
        <v>2022</v>
      </c>
      <c r="F77" s="3" t="inlineStr">
        <is>
          <t>Investigación</t>
        </is>
      </c>
      <c r="G77" s="3" t="inlineStr">
        <is>
          <t>Hector Arturo Florez Hernandez</t>
        </is>
      </c>
      <c r="H77" s="3" t="inlineStr">
        <is>
          <t>HERNANDEZ RODRIGUEZ JORGE EDUARDO</t>
        </is>
      </c>
      <c r="I77" s="3" t="inlineStr">
        <is>
          <t>2022-10-13</t>
        </is>
      </c>
      <c r="J77" s="3" t="n"/>
      <c r="K77" s="3" t="inlineStr">
        <is>
          <t>MCIC - Base de datos V2.xlsx — N-A Investigación</t>
        </is>
      </c>
      <c r="L77" s="3" t="inlineStr">
        <is>
          <t>Sustentado</t>
        </is>
      </c>
      <c r="M77" s="3" t="n"/>
    </row>
    <row r="78" ht="38.25" customHeight="1">
      <c r="A78" s="2" t="n">
        <v>78</v>
      </c>
      <c r="B78" s="3" t="inlineStr">
        <is>
          <t>20192495011.0</t>
        </is>
      </c>
      <c r="C78" s="3" t="inlineStr">
        <is>
          <t>INTERNET INTELIGENTE</t>
        </is>
      </c>
      <c r="D78" s="3" t="inlineStr">
        <is>
          <t>Clasificación de Eventos Astronómicos Transitorios con Redes Neuronales Recurrentes.</t>
        </is>
      </c>
      <c r="E78" s="4" t="n">
        <v>2023</v>
      </c>
      <c r="F78" s="3" t="inlineStr">
        <is>
          <t>Investigación</t>
        </is>
      </c>
      <c r="G78" s="3" t="inlineStr">
        <is>
          <t>Octavio Jose Salcedo Parra</t>
        </is>
      </c>
      <c r="H78" s="3" t="inlineStr">
        <is>
          <t>MARTIN VEGA DANIELA</t>
        </is>
      </c>
      <c r="I78" s="3" t="inlineStr">
        <is>
          <t>2023-11-17</t>
        </is>
      </c>
      <c r="J78" s="3" t="n"/>
      <c r="K78" s="3" t="inlineStr">
        <is>
          <t>MCIC - Base de datos V2.xlsx — N-A Investigación</t>
        </is>
      </c>
      <c r="L78" s="3" t="inlineStr">
        <is>
          <t>Sustentado</t>
        </is>
      </c>
      <c r="M78" s="3" t="n"/>
    </row>
    <row r="79" ht="25.5" customHeight="1">
      <c r="A79" s="2" t="n">
        <v>79</v>
      </c>
      <c r="B79" s="3" t="inlineStr">
        <is>
          <t>20192495013.0</t>
        </is>
      </c>
      <c r="C79" s="3" t="inlineStr">
        <is>
          <t>LAMIC</t>
        </is>
      </c>
      <c r="D79" s="3" t="inlineStr">
        <is>
          <t>METODOLOGIA PARA IMPLEMENTAR UN MODELO HILES DE UNA WSN</t>
        </is>
      </c>
      <c r="E79" s="4" t="n">
        <v>2024</v>
      </c>
      <c r="F79" s="3" t="inlineStr">
        <is>
          <t>Investigación</t>
        </is>
      </c>
      <c r="G79" s="3" t="inlineStr">
        <is>
          <t>Gerardo Alcides Muñoz Quiñones</t>
        </is>
      </c>
      <c r="H79" s="3" t="inlineStr">
        <is>
          <t>IDROBO LOPEZ OSCAR JAVIER</t>
        </is>
      </c>
      <c r="I79" s="3" t="inlineStr">
        <is>
          <t>2024-11-15</t>
        </is>
      </c>
      <c r="J79" s="3" t="n"/>
      <c r="K79" s="3" t="inlineStr">
        <is>
          <t>MCIC - Base de datos V2.xlsx — N-A Investigación</t>
        </is>
      </c>
      <c r="L79" s="3" t="inlineStr">
        <is>
          <t>Sustentado</t>
        </is>
      </c>
      <c r="M79" s="3" t="n"/>
    </row>
    <row r="80">
      <c r="A80" s="2" t="n">
        <v>80</v>
      </c>
      <c r="B80" s="3" t="inlineStr">
        <is>
          <t>20192495014.0</t>
        </is>
      </c>
      <c r="C80" s="3" t="inlineStr">
        <is>
          <t>INTECSE</t>
        </is>
      </c>
      <c r="D80" s="3" t="inlineStr">
        <is>
          <t>MODELO DE INFERENCIA ONTOLOGICA PARA CARACTERIZACION DE OPCIONES DE CULTIVO A PARTIR DE VARIABLES CLIMATICAS</t>
        </is>
      </c>
      <c r="E80" s="4" t="n">
        <v>2022</v>
      </c>
      <c r="F80" s="3" t="inlineStr">
        <is>
          <t>Investigación</t>
        </is>
      </c>
      <c r="G80" s="3" t="inlineStr">
        <is>
          <t>Julio Baron Velandia</t>
        </is>
      </c>
      <c r="H80" s="3" t="inlineStr">
        <is>
          <t>ARIZA RIAÑO MADDYZETH</t>
        </is>
      </c>
      <c r="I80" s="3" t="inlineStr">
        <is>
          <t>2022-08-26</t>
        </is>
      </c>
      <c r="J80" s="3" t="n"/>
      <c r="K80" s="3" t="inlineStr">
        <is>
          <t>MCIC - Base de datos V2.xlsx — N-A Investigación</t>
        </is>
      </c>
      <c r="L80" s="3" t="inlineStr">
        <is>
          <t>Sustentado</t>
        </is>
      </c>
      <c r="M80" s="3" t="n"/>
    </row>
    <row r="81" ht="25.5" customHeight="1">
      <c r="A81" s="2" t="n">
        <v>81</v>
      </c>
      <c r="B81" s="3" t="inlineStr">
        <is>
          <t>20201395006.0</t>
        </is>
      </c>
      <c r="C81" s="3" t="inlineStr">
        <is>
          <t>GIIRA</t>
        </is>
      </c>
      <c r="D81" s="3" t="inlineStr">
        <is>
          <t>USANDO IA</t>
        </is>
      </c>
      <c r="E81" s="4" t="n">
        <v>2024</v>
      </c>
      <c r="F81" s="3" t="inlineStr">
        <is>
          <t>Investigación</t>
        </is>
      </c>
      <c r="G81" s="3" t="inlineStr">
        <is>
          <t>Paulo Alonso Gaona Garcia</t>
        </is>
      </c>
      <c r="H81" s="3" t="inlineStr">
        <is>
          <t>RODRÍGUEZ RODRÍGUEZ WILLIAM STEVEN</t>
        </is>
      </c>
      <c r="I81" s="3" t="inlineStr">
        <is>
          <t>2024-12-09</t>
        </is>
      </c>
      <c r="J81" s="3" t="n"/>
      <c r="K81" s="3" t="inlineStr">
        <is>
          <t>MCIC - Base de datos V2.xlsx — N-A Investigación</t>
        </is>
      </c>
      <c r="L81" s="3" t="inlineStr">
        <is>
          <t>Sustentado</t>
        </is>
      </c>
      <c r="M81" s="3" t="n"/>
    </row>
    <row r="82" ht="25.5" customHeight="1">
      <c r="A82" s="2" t="n">
        <v>82</v>
      </c>
      <c r="B82" s="3" t="inlineStr">
        <is>
          <t>20202495012.0</t>
        </is>
      </c>
      <c r="C82" s="3" t="inlineStr">
        <is>
          <t>INTECSE</t>
        </is>
      </c>
      <c r="D82" s="3" t="inlineStr">
        <is>
          <t>MODELO PARA DETECCION DE XANTHOMONAS CAMPESTRIS APLICANDO TECNICAS DE MACHINE LEARNING MEJORADAS MEDIANTE ALGORITMOS DE OPTIMIZACION</t>
        </is>
      </c>
      <c r="E82" s="4" t="n">
        <v>2022</v>
      </c>
      <c r="F82" s="3" t="inlineStr">
        <is>
          <t>Investigación</t>
        </is>
      </c>
      <c r="G82" s="3" t="inlineStr">
        <is>
          <t>Julio Baron Velandia</t>
        </is>
      </c>
      <c r="H82" s="3" t="inlineStr">
        <is>
          <t>LEAL LARA DANIEL DAVID</t>
        </is>
      </c>
      <c r="I82" s="3" t="inlineStr">
        <is>
          <t>2022-05-23</t>
        </is>
      </c>
      <c r="J82" s="3" t="n"/>
      <c r="K82" s="3" t="inlineStr">
        <is>
          <t>MCIC - Base de datos V2.xlsx — N-A Investigación</t>
        </is>
      </c>
      <c r="L82" s="3" t="inlineStr">
        <is>
          <t>Sustentado</t>
        </is>
      </c>
      <c r="M82" s="3" t="n"/>
    </row>
    <row r="83" ht="38.25" customHeight="1">
      <c r="A83" s="2" t="n">
        <v>83</v>
      </c>
      <c r="B83" s="3" t="inlineStr">
        <is>
          <t>20202495019.0</t>
        </is>
      </c>
      <c r="C83" s="3" t="inlineStr">
        <is>
          <t>INTECSE</t>
        </is>
      </c>
      <c r="D83" s="3" t="inlineStr">
        <is>
          <t>MODELO PREDICTIVO DE HUMEDAD EN INVERNADEROS MEDIANTE INFERENCIA DIFUSA APLICANDO METODOS DE OPTIMIZACION</t>
        </is>
      </c>
      <c r="E83" s="4" t="n">
        <v>2022</v>
      </c>
      <c r="F83" s="3" t="inlineStr">
        <is>
          <t>Investigación</t>
        </is>
      </c>
      <c r="G83" s="3" t="inlineStr">
        <is>
          <t>Julio Baron Velandia</t>
        </is>
      </c>
      <c r="H83" s="3" t="inlineStr">
        <is>
          <t>VANEGAS AYALA SEBASTIAN CAMILO</t>
        </is>
      </c>
      <c r="I83" s="3" t="inlineStr">
        <is>
          <t>2022-02-04</t>
        </is>
      </c>
      <c r="J83" s="3" t="n"/>
      <c r="K83" s="3" t="inlineStr">
        <is>
          <t>MCIC - Base de datos V2.xlsx — N-A Investigación</t>
        </is>
      </c>
      <c r="L83" s="3" t="inlineStr">
        <is>
          <t>Sustentado</t>
        </is>
      </c>
      <c r="M83" s="3" t="n"/>
    </row>
    <row r="84" ht="25.5" customHeight="1">
      <c r="A84" s="2" t="n">
        <v>84</v>
      </c>
      <c r="B84" s="3" t="inlineStr">
        <is>
          <t>20211395006.0</t>
        </is>
      </c>
      <c r="C84" s="3" t="inlineStr">
        <is>
          <t>GITEM</t>
        </is>
      </c>
      <c r="D84" s="3" t="inlineStr">
        <is>
          <t>STRUCTURE-FROM-MOTION A PARTIR DE UAV COMO ALTERNATIVA DE SOLUCION PARA LA OCLUSION FOTOGRAMETRICA</t>
        </is>
      </c>
      <c r="E84" s="4" t="n">
        <v>2024</v>
      </c>
      <c r="F84" s="3" t="inlineStr">
        <is>
          <t>Investigación</t>
        </is>
      </c>
      <c r="G84" s="3" t="inlineStr">
        <is>
          <t>William Benigno Barragan</t>
        </is>
      </c>
      <c r="H84" s="3" t="inlineStr">
        <is>
          <t>ROMERO BELTRAN JEISSON ANDRES</t>
        </is>
      </c>
      <c r="I84" s="3" t="inlineStr">
        <is>
          <t>2024-05-29</t>
        </is>
      </c>
      <c r="J84" s="3" t="n"/>
      <c r="K84" s="3" t="inlineStr">
        <is>
          <t>MCIC - Base de datos V2.xlsx — N-A Investigación</t>
        </is>
      </c>
      <c r="L84" s="3" t="inlineStr">
        <is>
          <t>Sustentado</t>
        </is>
      </c>
      <c r="M84" s="3" t="n"/>
    </row>
    <row r="85" ht="25.5" customHeight="1">
      <c r="A85" s="2" t="n">
        <v>85</v>
      </c>
      <c r="B85" s="3" t="inlineStr">
        <is>
          <t>20211395007.0</t>
        </is>
      </c>
      <c r="C85" s="3" t="inlineStr">
        <is>
          <t>LASER</t>
        </is>
      </c>
      <c r="D85" s="3" t="inlineStr">
        <is>
          <t>MODELO DE SISTEMA DE ALERTA TEMPRANA PARA DESBORDAMIENTOS DE ARROYOS EN BARRANQUILLA BASADO EN LA COMUNIDAD</t>
        </is>
      </c>
      <c r="E85" s="4" t="n">
        <v>2024</v>
      </c>
      <c r="F85" s="3" t="inlineStr">
        <is>
          <t>Investigación</t>
        </is>
      </c>
      <c r="G85" s="3" t="inlineStr">
        <is>
          <t>Ernesto Gomez Vargas</t>
        </is>
      </c>
      <c r="H85" s="3" t="inlineStr">
        <is>
          <t>SERNA GALEANO IVAN ANDRES</t>
        </is>
      </c>
      <c r="I85" s="3" t="inlineStr">
        <is>
          <t>2024-05-27</t>
        </is>
      </c>
      <c r="J85" s="3" t="n"/>
      <c r="K85" s="3" t="inlineStr">
        <is>
          <t>MCIC - Base de datos V2.xlsx — N-A Investigación</t>
        </is>
      </c>
      <c r="L85" s="3" t="inlineStr">
        <is>
          <t>Sustentado</t>
        </is>
      </c>
      <c r="M85" s="3" t="n"/>
    </row>
    <row r="86" ht="38.25" customHeight="1">
      <c r="A86" s="2" t="n">
        <v>86</v>
      </c>
      <c r="B86" s="3" t="inlineStr">
        <is>
          <t>20211395008.0</t>
        </is>
      </c>
      <c r="C86" s="3" t="inlineStr">
        <is>
          <t>NIDE</t>
        </is>
      </c>
      <c r="D86" s="3" t="inlineStr">
        <is>
          <t>METODOLOGÍA PARA LA PUBLICACIÓN ESTANDARIZADA DE FIRMAS ESPECTRALES PARA LA CLASIFICACIÓN DE COBERTURAS DEL SUELO</t>
        </is>
      </c>
      <c r="E86" s="4" t="n">
        <v>2023</v>
      </c>
      <c r="F86" s="3" t="inlineStr">
        <is>
          <t>Investigación</t>
        </is>
      </c>
      <c r="G86" s="3" t="inlineStr">
        <is>
          <t>Jose Luis Herrera Escorcia</t>
        </is>
      </c>
      <c r="H86" s="3" t="inlineStr">
        <is>
          <t>VALBUENA GAONA MARTHA PATRICIA</t>
        </is>
      </c>
      <c r="I86" s="3" t="inlineStr">
        <is>
          <t>2023-05-30</t>
        </is>
      </c>
      <c r="J86" s="3" t="n"/>
      <c r="K86" s="3" t="inlineStr">
        <is>
          <t>MCIC - Base de datos V2.xlsx — N-A Investigación</t>
        </is>
      </c>
      <c r="L86" s="3" t="inlineStr">
        <is>
          <t>Sustentado</t>
        </is>
      </c>
      <c r="M86" s="3" t="n"/>
    </row>
    <row r="87" ht="25.5" customHeight="1">
      <c r="A87" s="2" t="n">
        <v>87</v>
      </c>
      <c r="B87" s="3" t="inlineStr">
        <is>
          <t>20211495004.0</t>
        </is>
      </c>
      <c r="C87" s="3" t="inlineStr">
        <is>
          <t>GITEM</t>
        </is>
      </c>
      <c r="D87" s="3" t="inlineStr">
        <is>
          <t>METODOLOGIA PARA LA APLICACION DE ́LA CIENCIA DE DATOS EN EL DIAGNOSTICO DEL CANCER DE MAMA</t>
        </is>
      </c>
      <c r="E87" s="4" t="n">
        <v>2023</v>
      </c>
      <c r="F87" s="3" t="inlineStr">
        <is>
          <t>Investigación</t>
        </is>
      </c>
      <c r="G87" s="3" t="inlineStr">
        <is>
          <t>Lilia Edith Aparicio Pico</t>
        </is>
      </c>
      <c r="H87" s="3" t="inlineStr">
        <is>
          <t>MILLAN GOMEZ JORGE ARMANDO</t>
        </is>
      </c>
      <c r="I87" s="3" t="inlineStr">
        <is>
          <t>2023-05-30</t>
        </is>
      </c>
      <c r="J87" s="3" t="n"/>
      <c r="K87" s="3" t="inlineStr">
        <is>
          <t>MCIC - Base de datos V2.xlsx — N-A Investigación</t>
        </is>
      </c>
      <c r="L87" s="3" t="inlineStr">
        <is>
          <t>Sustentado</t>
        </is>
      </c>
      <c r="M87" s="3" t="n"/>
    </row>
    <row r="88" ht="25.5" customHeight="1">
      <c r="A88" s="2" t="n">
        <v>88</v>
      </c>
      <c r="B88" s="3" t="inlineStr">
        <is>
          <t>20211495010.0</t>
        </is>
      </c>
      <c r="C88" s="3" t="inlineStr">
        <is>
          <t>INTECSE</t>
        </is>
      </c>
      <c r="D88" s="3" t="inlineStr">
        <is>
          <t>MODELO DE CLASIFICACION SUPERVISADO PARA LA DETECCION DE LA ROYA EN HOJAS DEL CULTIVO DE CAFE APLICANDO TECNICAS DE MACHINE LEARNING</t>
        </is>
      </c>
      <c r="E88" s="4" t="n">
        <v>2023</v>
      </c>
      <c r="F88" s="3" t="inlineStr">
        <is>
          <t>Investigación</t>
        </is>
      </c>
      <c r="G88" s="3" t="inlineStr">
        <is>
          <t>Julio Baron Velandia</t>
        </is>
      </c>
      <c r="H88" s="3" t="inlineStr">
        <is>
          <t>ROCHA CALDERON CAMILO ENRIQUE</t>
        </is>
      </c>
      <c r="I88" s="3" t="inlineStr">
        <is>
          <t>2023-06-06</t>
        </is>
      </c>
      <c r="J88" s="3" t="n"/>
      <c r="K88" s="3" t="inlineStr">
        <is>
          <t>MCIC - Base de datos V2.xlsx — N-A Investigación</t>
        </is>
      </c>
      <c r="L88" s="3" t="inlineStr">
        <is>
          <t>Sustentado</t>
        </is>
      </c>
      <c r="M88" s="3" t="n"/>
    </row>
    <row r="89" ht="38.25" customHeight="1">
      <c r="A89" s="2" t="n">
        <v>89</v>
      </c>
      <c r="B89" s="3" t="inlineStr">
        <is>
          <t>20211495017.0</t>
        </is>
      </c>
      <c r="C89" s="3" t="inlineStr">
        <is>
          <t>INTECSE</t>
        </is>
      </c>
      <c r="D89" s="3" t="inlineStr">
        <is>
          <t>MODELO PARA PREDICCION DEL RENDIMIENTO DE CULTIVOS DE MAIZ EN COLOMBIA EMPLEANDO APRENDIZAJE PROFUNDO</t>
        </is>
      </c>
      <c r="E89" s="4" t="n">
        <v>2024</v>
      </c>
      <c r="F89" s="3" t="inlineStr">
        <is>
          <t>Investigación</t>
        </is>
      </c>
      <c r="G89" s="3" t="inlineStr">
        <is>
          <t>Julio Baron Velandia</t>
        </is>
      </c>
      <c r="H89" s="3" t="inlineStr">
        <is>
          <t>SIERRA FORERO BRAYAN LEONARDO</t>
        </is>
      </c>
      <c r="I89" s="3" t="inlineStr">
        <is>
          <t>2024-05-29</t>
        </is>
      </c>
      <c r="J89" s="3" t="n"/>
      <c r="K89" s="3" t="inlineStr">
        <is>
          <t>MCIC - Base de datos V2.xlsx — N-A Investigación</t>
        </is>
      </c>
      <c r="L89" s="3" t="inlineStr">
        <is>
          <t>Sustentado</t>
        </is>
      </c>
      <c r="M89" s="3" t="n"/>
    </row>
    <row r="90" ht="25.5" customHeight="1">
      <c r="A90" s="2" t="n">
        <v>90</v>
      </c>
      <c r="B90" s="3" t="inlineStr">
        <is>
          <t>20151295006.0</t>
        </is>
      </c>
      <c r="C90" s="3" t="inlineStr">
        <is>
          <t>GESETIC</t>
        </is>
      </c>
      <c r="D90" s="3" t="inlineStr">
        <is>
          <t>METODOLOGÍA PARA LA PREDICCIÓN DE PROBLEMAS REFERENTES A LAS TIC EN ORGANIZACIONES DE SERVICIOS GENERALES</t>
        </is>
      </c>
      <c r="E90" s="4" t="n">
        <v>2022</v>
      </c>
      <c r="F90" s="3" t="inlineStr">
        <is>
          <t>Profundización</t>
        </is>
      </c>
      <c r="G90" s="3" t="inlineStr">
        <is>
          <t>Adriana Vega</t>
        </is>
      </c>
      <c r="H90" s="3" t="inlineStr">
        <is>
          <t>PINZON CASAS CHRISTIAN JESUS</t>
        </is>
      </c>
      <c r="I90" s="3" t="inlineStr">
        <is>
          <t>2022-12-12</t>
        </is>
      </c>
      <c r="J90" s="3" t="n"/>
      <c r="K90" s="3" t="inlineStr">
        <is>
          <t>MCIC - Base de datos V2.xlsx — N-A Profundizacion</t>
        </is>
      </c>
      <c r="L90" s="3" t="inlineStr">
        <is>
          <t>Sustentado</t>
        </is>
      </c>
      <c r="M90" s="3" t="n"/>
    </row>
    <row r="91" ht="25.5" customHeight="1">
      <c r="A91" s="2" t="n">
        <v>91</v>
      </c>
      <c r="B91" s="3" t="inlineStr">
        <is>
          <t>20162495019.0</t>
        </is>
      </c>
      <c r="C91" s="3" t="inlineStr">
        <is>
          <t>IAFT</t>
        </is>
      </c>
      <c r="D91" s="3" t="inlineStr">
        <is>
          <t>SISTEMA DE IDENTIFICACIÓN Y ANÁLISIS DE VARIABLES DE RIESGO PARA EL CÁLCULO DE PRIMAS DE REASEGURO EMPLEANDO MODELOS COMPUTACIONALES.</t>
        </is>
      </c>
      <c r="E91" s="4" t="n">
        <v>2023</v>
      </c>
      <c r="F91" s="3" t="inlineStr">
        <is>
          <t>Profundización</t>
        </is>
      </c>
      <c r="G91" s="3" t="inlineStr">
        <is>
          <t>Jorge Enrique Rodriguez Rodriguez</t>
        </is>
      </c>
      <c r="H91" s="3" t="inlineStr">
        <is>
          <t>VARGAS CARRILLO LUZ ANGELA</t>
        </is>
      </c>
      <c r="I91" s="3" t="inlineStr">
        <is>
          <t>2023-05-03</t>
        </is>
      </c>
      <c r="J91" s="3" t="n"/>
      <c r="K91" s="3" t="inlineStr">
        <is>
          <t>MCIC - Base de datos V2.xlsx — N-A Profundizacion</t>
        </is>
      </c>
      <c r="L91" s="3" t="inlineStr">
        <is>
          <t>Sustentado</t>
        </is>
      </c>
      <c r="M91" s="3" t="n"/>
    </row>
    <row r="92" ht="38.25" customHeight="1">
      <c r="A92" s="2" t="n">
        <v>92</v>
      </c>
      <c r="B92" s="3" t="inlineStr">
        <is>
          <t>20181195003.0</t>
        </is>
      </c>
      <c r="C92" s="3" t="inlineStr">
        <is>
          <t>INTERNET INTELIGENTE</t>
        </is>
      </c>
      <c r="D92" s="3" t="inlineStr">
        <is>
          <t>PRONOSTICO DE CONTAMINACION POR MATERIAL PARTICULADO, MEDIANTE REDES NEIRONALES ARTIFICIALES PARA GENERAR UN SISTEMA DE ALARMAS AMBIENTALES.</t>
        </is>
      </c>
      <c r="E92" s="4" t="n">
        <v>2023</v>
      </c>
      <c r="F92" s="3" t="inlineStr">
        <is>
          <t>Profundización</t>
        </is>
      </c>
      <c r="G92" s="3" t="inlineStr">
        <is>
          <t>Octavio Jose Salcedo Parra</t>
        </is>
      </c>
      <c r="H92" s="3" t="inlineStr">
        <is>
          <t>CORZO MUÑOZ MIGUEL ANGEL</t>
        </is>
      </c>
      <c r="I92" s="3" t="inlineStr">
        <is>
          <t>2023-11-07</t>
        </is>
      </c>
      <c r="J92" s="3" t="n"/>
      <c r="K92" s="3" t="inlineStr">
        <is>
          <t>MCIC - Base de datos V2.xlsx — N-A Profundizacion</t>
        </is>
      </c>
      <c r="L92" s="3" t="inlineStr">
        <is>
          <t>Sustentado</t>
        </is>
      </c>
      <c r="M92" s="3" t="n"/>
    </row>
    <row r="93" ht="38.25" customHeight="1">
      <c r="A93" s="2" t="n">
        <v>93</v>
      </c>
      <c r="B93" s="3" t="inlineStr">
        <is>
          <t>20181495018.0</t>
        </is>
      </c>
      <c r="C93" s="3" t="inlineStr">
        <is>
          <t>DIMSI</t>
        </is>
      </c>
      <c r="D93" s="3" t="inlineStr">
        <is>
          <t>dentificación de patrones de deserción y riesgo académico en carreras de la facultad de ingeniería de la universidad distrital a través de técnicas machine learning</t>
        </is>
      </c>
      <c r="E93" s="4" t="n">
        <v>2024</v>
      </c>
      <c r="F93" s="3" t="inlineStr">
        <is>
          <t>Profundización</t>
        </is>
      </c>
      <c r="G93" s="3" t="inlineStr">
        <is>
          <t>Leonardo Emiro Contreras Bravo</t>
        </is>
      </c>
      <c r="H93" s="3" t="inlineStr">
        <is>
          <t>SALAMANCA VASQUEZ ESTEBAN</t>
        </is>
      </c>
      <c r="I93" s="3" t="inlineStr">
        <is>
          <t>2024-12-09</t>
        </is>
      </c>
      <c r="J93" s="3" t="n"/>
      <c r="K93" s="3" t="inlineStr">
        <is>
          <t>MCIC - Base de datos V2.xlsx — N-A Profundizacion</t>
        </is>
      </c>
      <c r="L93" s="3" t="inlineStr">
        <is>
          <t>Sustentado</t>
        </is>
      </c>
      <c r="M93" s="3" t="n"/>
    </row>
    <row r="94" ht="38.25" customHeight="1">
      <c r="A94" s="2" t="n">
        <v>94</v>
      </c>
      <c r="B94" s="3" t="inlineStr">
        <is>
          <t>20182495006.0</t>
        </is>
      </c>
      <c r="C94" s="3" t="inlineStr">
        <is>
          <t>GITEM</t>
        </is>
      </c>
      <c r="D94" s="3" t="inlineStr">
        <is>
          <t>Modelo semántico aplicado a la gestión de contenidos en el marco de la contratación en las empresas del estado</t>
        </is>
      </c>
      <c r="E94" s="4" t="n">
        <v>2024</v>
      </c>
      <c r="F94" s="3" t="inlineStr">
        <is>
          <t>Profundización</t>
        </is>
      </c>
      <c r="G94" s="3" t="inlineStr">
        <is>
          <t>Paulo Cesar Coronado Sanchez</t>
        </is>
      </c>
      <c r="H94" s="3" t="inlineStr">
        <is>
          <t>ÉRIRA TRUJILLO WILLIAM ALBERTO</t>
        </is>
      </c>
      <c r="I94" s="3" t="inlineStr">
        <is>
          <t>2024-12-02</t>
        </is>
      </c>
      <c r="J94" s="3" t="n"/>
      <c r="K94" s="3" t="inlineStr">
        <is>
          <t>MCIC - Base de datos V2.xlsx — N-A Profundizacion</t>
        </is>
      </c>
      <c r="L94" s="3" t="inlineStr">
        <is>
          <t>Sustentado</t>
        </is>
      </c>
      <c r="M94" s="3" t="n"/>
    </row>
    <row r="95" ht="25.5" customHeight="1">
      <c r="A95" s="2" t="n">
        <v>95</v>
      </c>
      <c r="B95" s="3" t="inlineStr">
        <is>
          <t>20191395005.0</t>
        </is>
      </c>
      <c r="C95" s="3" t="inlineStr">
        <is>
          <t>NIDE</t>
        </is>
      </c>
      <c r="D95" s="3" t="inlineStr">
        <is>
          <t>Diseño de un prototipo en el motor base de datos para la validación de reglas topológicas y cumplimiento del modelo de aplicación de levantamiento catastral LADM-COL v. 2.0.</t>
        </is>
      </c>
      <c r="E95" s="4" t="n">
        <v>2025</v>
      </c>
      <c r="F95" s="3" t="inlineStr">
        <is>
          <t>Profundización</t>
        </is>
      </c>
      <c r="G95" s="3" t="inlineStr">
        <is>
          <t>Alvaro Enrique Ortiz Davila</t>
        </is>
      </c>
      <c r="H95" s="3" t="inlineStr">
        <is>
          <t>LÓPEZ CALLE MARÍA ISABEL</t>
        </is>
      </c>
      <c r="I95" s="3" t="inlineStr">
        <is>
          <t>2025-05-07</t>
        </is>
      </c>
      <c r="J95" s="3" t="n"/>
      <c r="K95" s="3" t="inlineStr">
        <is>
          <t>MCIC - Base de datos V2.xlsx — N-A Profundizacion</t>
        </is>
      </c>
      <c r="L95" s="3" t="inlineStr">
        <is>
          <t>Sustentado</t>
        </is>
      </c>
      <c r="M95" s="3" t="n"/>
    </row>
    <row r="96" ht="38.25" customHeight="1">
      <c r="A96" s="2" t="n">
        <v>96</v>
      </c>
      <c r="B96" s="3" t="inlineStr">
        <is>
          <t>20191495009.0</t>
        </is>
      </c>
      <c r="C96" s="3" t="inlineStr">
        <is>
          <t>GITEM</t>
        </is>
      </c>
      <c r="D96" s="3" t="inlineStr">
        <is>
          <t>MODELO DE ARQUITECTURA CORE TRANSACCIONAL BASADA EN ARQUITECTURAS REACTIVAS Y MICROSERVICIOS PARA EL SECTOR FINANCIERO COLOMBIANO / Diseño de una solución basada en computación en la nube para el telemonitoreo de saturación de oxígeno y frecuencia cardiaca en tiempo real</t>
        </is>
      </c>
      <c r="E96" s="4" t="n">
        <v>2023</v>
      </c>
      <c r="F96" s="3" t="inlineStr">
        <is>
          <t>Profundización</t>
        </is>
      </c>
      <c r="G96" s="3" t="inlineStr">
        <is>
          <t>Lilia Edith Aparicio Pico</t>
        </is>
      </c>
      <c r="H96" s="3" t="inlineStr">
        <is>
          <t>DAZA ROJAS JOHN JAIRO</t>
        </is>
      </c>
      <c r="I96" s="3" t="inlineStr">
        <is>
          <t>2023-05-30</t>
        </is>
      </c>
      <c r="J96" s="3" t="n"/>
      <c r="K96" s="3" t="inlineStr">
        <is>
          <t>MCIC - Base de datos V2.xlsx — N-A Profundizacion</t>
        </is>
      </c>
      <c r="L96" s="3" t="inlineStr">
        <is>
          <t>Sustentado</t>
        </is>
      </c>
      <c r="M96" s="3" t="n"/>
    </row>
    <row r="97" ht="63.75" customHeight="1">
      <c r="A97" s="2" t="n">
        <v>97</v>
      </c>
      <c r="B97" s="3" t="inlineStr">
        <is>
          <t>20191495027.0</t>
        </is>
      </c>
      <c r="C97" s="3" t="inlineStr">
        <is>
          <t>GITEM</t>
        </is>
      </c>
      <c r="D97" s="3" t="inlineStr">
        <is>
          <t>SISTEMA LUDIFICADO DE REALIDAD VIRTUAL PARA EL DESARROLLO DE PROCESO SW DE ENSEÑANZA
APRENDIZAJE RELACIONADOS CON LA PROGRAMACIÓN DE COMPUTADORES</t>
        </is>
      </c>
      <c r="E97" s="4" t="n">
        <v>2023</v>
      </c>
      <c r="F97" s="3" t="inlineStr">
        <is>
          <t>Profundización</t>
        </is>
      </c>
      <c r="G97" s="3" t="inlineStr">
        <is>
          <t>Paulo Cesar Coronado Sanchez</t>
        </is>
      </c>
      <c r="H97" s="3" t="inlineStr">
        <is>
          <t>TAMAYO HERNÁNDEZ DONNA JOHANNA</t>
        </is>
      </c>
      <c r="I97" s="3" t="inlineStr">
        <is>
          <t>2023-11-16</t>
        </is>
      </c>
      <c r="J97" s="3" t="n"/>
      <c r="K97" s="3" t="inlineStr">
        <is>
          <t>MCIC - Base de datos V2.xlsx — N-A Profundizacion</t>
        </is>
      </c>
      <c r="L97" s="3" t="inlineStr">
        <is>
          <t>Sustentado</t>
        </is>
      </c>
      <c r="M97" s="3" t="n"/>
    </row>
    <row r="98" ht="51" customHeight="1">
      <c r="A98" s="2" t="n">
        <v>98</v>
      </c>
      <c r="B98" s="3" t="inlineStr">
        <is>
          <t>20192395002.0</t>
        </is>
      </c>
      <c r="C98" s="3" t="inlineStr">
        <is>
          <t>NIDE</t>
        </is>
      </c>
      <c r="D98" s="3" t="inlineStr">
        <is>
          <t>MODELO DE GESTIÓN DE INFORMACIÓN ESPACIAL PARA AUTORREGULAR EL ACCESO A ESTACIONES DE TRANSMILENIO UTILIZANDO HERRAMIENTAS COLABORATIVAS</t>
        </is>
      </c>
      <c r="E98" s="4" t="n">
        <v>2025</v>
      </c>
      <c r="F98" s="3" t="inlineStr">
        <is>
          <t>Profundización</t>
        </is>
      </c>
      <c r="G98" s="3" t="inlineStr">
        <is>
          <t>Luz Angela Rocha Salamanca</t>
        </is>
      </c>
      <c r="H98" s="3" t="inlineStr">
        <is>
          <t>GARCÍA GUZMÁN PEDRO PABLO</t>
        </is>
      </c>
      <c r="I98" s="3" t="inlineStr">
        <is>
          <t>2025-06-17</t>
        </is>
      </c>
      <c r="J98" s="3" t="n"/>
      <c r="K98" s="3" t="inlineStr">
        <is>
          <t>MCIC - Base de datos V2.xlsx — N-A Profundizacion</t>
        </is>
      </c>
      <c r="L98" s="3" t="inlineStr">
        <is>
          <t>Sustentado</t>
        </is>
      </c>
      <c r="M98" s="3" t="n"/>
    </row>
    <row r="99" ht="38.25" customHeight="1">
      <c r="A99" s="2" t="n">
        <v>99</v>
      </c>
      <c r="B99" s="3" t="inlineStr">
        <is>
          <t>20201395002.0</t>
        </is>
      </c>
      <c r="C99" s="3" t="inlineStr">
        <is>
          <t>NIDE</t>
        </is>
      </c>
      <c r="D99" s="3" t="inlineStr">
        <is>
          <t>Análisis multitemporal de la conurbación en los municipios de Madrid y Mosquera mediante métodos de Geobia e índices espectrales.</t>
        </is>
      </c>
      <c r="E99" s="4" t="n">
        <v>2025</v>
      </c>
      <c r="F99" s="3" t="inlineStr">
        <is>
          <t>Profundización</t>
        </is>
      </c>
      <c r="G99" s="3" t="inlineStr">
        <is>
          <t>Edilberto Suarez Torres</t>
        </is>
      </c>
      <c r="H99" s="3" t="inlineStr">
        <is>
          <t>GÓMEZ CAMARGO LAURA NICOLE</t>
        </is>
      </c>
      <c r="I99" s="3" t="inlineStr">
        <is>
          <t>2025-12-09</t>
        </is>
      </c>
      <c r="J99" s="3" t="n"/>
      <c r="K99" s="3" t="inlineStr">
        <is>
          <t>MCIC - Base de datos V2.xlsx — N-A Profundizacion</t>
        </is>
      </c>
      <c r="L99" s="3" t="inlineStr">
        <is>
          <t>Sustentado</t>
        </is>
      </c>
      <c r="M99" s="3" t="n"/>
    </row>
    <row r="100" ht="25.5" customHeight="1">
      <c r="A100" s="2" t="n">
        <v>100</v>
      </c>
      <c r="B100" s="3" t="inlineStr">
        <is>
          <t>20201395003.0</t>
        </is>
      </c>
      <c r="C100" s="3" t="inlineStr">
        <is>
          <t>GIIRA</t>
        </is>
      </c>
      <c r="D100" s="3" t="inlineStr">
        <is>
          <t>MODELO DE SIG CON EL USO DE REALIDAD AUMENTADA PARA USUARIOS POS CON DISCAPACIDAD AUDITIVA QUE USEN LOS SERVICIOS DE SALUD</t>
        </is>
      </c>
      <c r="E100" s="4" t="n">
        <v>2022</v>
      </c>
      <c r="F100" s="3" t="inlineStr">
        <is>
          <t>Profundización</t>
        </is>
      </c>
      <c r="G100" s="3" t="inlineStr">
        <is>
          <t>Carlos Enrique Montenegro</t>
        </is>
      </c>
      <c r="H100" s="3" t="inlineStr">
        <is>
          <t>MONTES LÓPEZ DIEGO FERNANDO</t>
        </is>
      </c>
      <c r="I100" s="3" t="inlineStr">
        <is>
          <t>2022-08-05</t>
        </is>
      </c>
      <c r="J100" s="3" t="n"/>
      <c r="K100" s="3" t="inlineStr">
        <is>
          <t>MCIC - Base de datos V2.xlsx — N-A Profundizacion</t>
        </is>
      </c>
      <c r="L100" s="3" t="inlineStr">
        <is>
          <t>Sustentado</t>
        </is>
      </c>
      <c r="M100" s="3" t="n"/>
    </row>
    <row r="101" ht="38.25" customHeight="1">
      <c r="A101" s="2" t="n">
        <v>101</v>
      </c>
      <c r="B101" s="3" t="inlineStr">
        <is>
          <t>20201395004.0</t>
        </is>
      </c>
      <c r="C101" s="3" t="inlineStr">
        <is>
          <t>INTERNET INTELIGENTE</t>
        </is>
      </c>
      <c r="D101" s="3" t="inlineStr">
        <is>
          <t>PRONOSTICO DE LA ESPERANZA DE VIDA PARA LA POBLACION DE COLOMBIA UTILIZANDO MACHINE
LEARNING</t>
        </is>
      </c>
      <c r="E101" s="4" t="n">
        <v>2025</v>
      </c>
      <c r="F101" s="3" t="inlineStr">
        <is>
          <t>Profundización</t>
        </is>
      </c>
      <c r="G101" s="3" t="inlineStr">
        <is>
          <t>Octavio Jose Salcedo Parra</t>
        </is>
      </c>
      <c r="H101" s="3" t="inlineStr">
        <is>
          <t>PERALTA HERNÁNDEZ ANGIE ESTEFANÍA</t>
        </is>
      </c>
      <c r="I101" s="3" t="inlineStr">
        <is>
          <t>2025-02-28</t>
        </is>
      </c>
      <c r="J101" s="3" t="n"/>
      <c r="K101" s="3" t="inlineStr">
        <is>
          <t>MCIC - Base de datos V2.xlsx — N-A Profundizacion</t>
        </is>
      </c>
      <c r="L101" s="3" t="inlineStr">
        <is>
          <t>Sustentado</t>
        </is>
      </c>
      <c r="M101" s="3" t="n"/>
    </row>
    <row r="102" ht="38.25" customHeight="1">
      <c r="A102" s="2" t="n">
        <v>102</v>
      </c>
      <c r="B102" s="3" t="inlineStr">
        <is>
          <t>20201395005.0</t>
        </is>
      </c>
      <c r="C102" s="3" t="inlineStr">
        <is>
          <t>INTERNET INTELIGENTE</t>
        </is>
      </c>
      <c r="D102" s="3" t="inlineStr">
        <is>
          <t>PREDICCION DE ESPERANZA DE VIDA, CONSIDERANDO EL COVID-19 BAJO ALGORITMOS DE MACHINE
LEARNING BASADOS EN DATOS EPIDEMIOLOGICOS Y PATOLOGICOS</t>
        </is>
      </c>
      <c r="E102" s="4" t="n">
        <v>2025</v>
      </c>
      <c r="F102" s="3" t="inlineStr">
        <is>
          <t>Profundización</t>
        </is>
      </c>
      <c r="G102" s="3" t="inlineStr">
        <is>
          <t>Octavio Jose Salcedo Parra</t>
        </is>
      </c>
      <c r="H102" s="3" t="inlineStr">
        <is>
          <t>RODRÍGUEZ LÓPEZ JORGE LEONARDO</t>
        </is>
      </c>
      <c r="I102" s="3" t="inlineStr">
        <is>
          <t>2025-03-25</t>
        </is>
      </c>
      <c r="J102" s="3" t="n"/>
      <c r="K102" s="3" t="inlineStr">
        <is>
          <t>MCIC - Base de datos V2.xlsx — N-A Profundizacion</t>
        </is>
      </c>
      <c r="L102" s="3" t="inlineStr">
        <is>
          <t>Sustentado</t>
        </is>
      </c>
      <c r="M102" s="3" t="n"/>
    </row>
    <row r="103" ht="38.25" customHeight="1">
      <c r="A103" s="2" t="n">
        <v>103</v>
      </c>
      <c r="B103" s="3" t="inlineStr">
        <is>
          <t>20211195001.0</t>
        </is>
      </c>
      <c r="C103" s="3" t="inlineStr">
        <is>
          <t>INTERNET INTELIGENTE</t>
        </is>
      </c>
      <c r="D103" s="3" t="inlineStr">
        <is>
          <t>NETWORK SLICING EN REDES 5G PARA TRAFICO STREAMING APLICANDO DEEP LEARNING</t>
        </is>
      </c>
      <c r="E103" s="4" t="n">
        <v>2024</v>
      </c>
      <c r="F103" s="3" t="inlineStr">
        <is>
          <t>Profundización</t>
        </is>
      </c>
      <c r="G103" s="3" t="inlineStr">
        <is>
          <t>Octavio Jose Salcedo Parra</t>
        </is>
      </c>
      <c r="H103" s="3" t="inlineStr">
        <is>
          <t>BOJACA CABRA JOHN NEIVER</t>
        </is>
      </c>
      <c r="I103" s="3" t="inlineStr">
        <is>
          <t>2024-05-27</t>
        </is>
      </c>
      <c r="J103" s="3" t="n"/>
      <c r="K103" s="3" t="inlineStr">
        <is>
          <t>MCIC - Base de datos V2.xlsx — N-A Profundizacion</t>
        </is>
      </c>
      <c r="L103" s="3" t="inlineStr">
        <is>
          <t>Sustentado</t>
        </is>
      </c>
      <c r="M103" s="3" t="n"/>
    </row>
    <row r="104" ht="25.5" customHeight="1">
      <c r="A104" s="2" t="n">
        <v>104</v>
      </c>
      <c r="B104" s="3" t="inlineStr">
        <is>
          <t>20211395004.0</t>
        </is>
      </c>
      <c r="C104" s="3" t="inlineStr">
        <is>
          <t>NIDE</t>
        </is>
      </c>
      <c r="D104" s="3" t="inlineStr">
        <is>
          <t>en la detección de malware</t>
        </is>
      </c>
      <c r="E104" s="4" t="n">
        <v>2025</v>
      </c>
      <c r="F104" s="3" t="inlineStr">
        <is>
          <t>Profundización</t>
        </is>
      </c>
      <c r="G104" s="3" t="inlineStr">
        <is>
          <t>Luz Angela Rocha Salamanca</t>
        </is>
      </c>
      <c r="H104" s="3" t="inlineStr">
        <is>
          <t>MONTANO MORENO ANDRES OROSMAN</t>
        </is>
      </c>
      <c r="I104" s="3" t="inlineStr">
        <is>
          <t>2025-08-22</t>
        </is>
      </c>
      <c r="J104" s="3" t="n"/>
      <c r="K104" s="3" t="inlineStr">
        <is>
          <t>MCIC - Base de datos V2.xlsx — N-A Profundizacion</t>
        </is>
      </c>
      <c r="L104" s="3" t="inlineStr">
        <is>
          <t>Sustentado</t>
        </is>
      </c>
      <c r="M104" s="3" t="n"/>
    </row>
    <row r="105" ht="25.5" customHeight="1">
      <c r="A105" s="2" t="n">
        <v>105</v>
      </c>
      <c r="B105" s="3" t="inlineStr">
        <is>
          <t>20211495013.0</t>
        </is>
      </c>
      <c r="C105" s="3" t="inlineStr">
        <is>
          <t>GIIRA</t>
        </is>
      </c>
      <c r="D105" s="3" t="inlineStr">
        <is>
          <t>SISTEMA DE SOPORTE DE DECISIONES PARA LA ADMINISTRACION DE PRODUCTOS AGRICOLAS DEL CAMPO COLOMBIANO.</t>
        </is>
      </c>
      <c r="E105" s="4" t="n">
        <v>2022</v>
      </c>
      <c r="F105" s="3" t="inlineStr">
        <is>
          <t>Profundización</t>
        </is>
      </c>
      <c r="G105" s="3" t="inlineStr">
        <is>
          <t>Carlos Enrique Montenegro</t>
        </is>
      </c>
      <c r="H105" s="3" t="inlineStr">
        <is>
          <t>SANCHEZ MANCILLA JUAN SEBASTIAN</t>
        </is>
      </c>
      <c r="I105" s="3" t="inlineStr">
        <is>
          <t>2022-11-24</t>
        </is>
      </c>
      <c r="J105" s="3" t="n"/>
      <c r="K105" s="3" t="inlineStr">
        <is>
          <t>MCIC - Base de datos V2.xlsx — N-A Profundizacion</t>
        </is>
      </c>
      <c r="L105" s="3" t="inlineStr">
        <is>
          <t>Sustentado</t>
        </is>
      </c>
      <c r="M105" s="3" t="n"/>
    </row>
    <row r="106" ht="25.5" customHeight="1">
      <c r="A106" s="2" t="n">
        <v>106</v>
      </c>
      <c r="B106" s="3" t="inlineStr">
        <is>
          <t>20221195003.0</t>
        </is>
      </c>
      <c r="C106" s="3" t="inlineStr">
        <is>
          <t>GICOECOL</t>
        </is>
      </c>
      <c r="D106" s="3" t="inlineStr">
        <is>
          <t>SISTEMA IOT PARA LA GESTIÓN DE VARIABLES DE PROCESO EN AMBIENTES DE REFRIGERACIÓN DE LA INDUSTRIA CÁRNICA</t>
        </is>
      </c>
      <c r="E106" s="4" t="n">
        <v>2025</v>
      </c>
      <c r="F106" s="3" t="inlineStr">
        <is>
          <t>Profundización</t>
        </is>
      </c>
      <c r="G106" s="3" t="inlineStr">
        <is>
          <t>Luz Andrea Rodríguez Rojas</t>
        </is>
      </c>
      <c r="H106" s="3" t="inlineStr">
        <is>
          <t>TRIANA USECHE JORDAN CAMILO</t>
        </is>
      </c>
      <c r="I106" s="3" t="inlineStr">
        <is>
          <t>2025-04-10</t>
        </is>
      </c>
      <c r="J106" s="3" t="n"/>
      <c r="K106" s="3" t="inlineStr">
        <is>
          <t>MCIC - Base de datos V2.xlsx — N-A Profundizacion</t>
        </is>
      </c>
      <c r="L106" s="3" t="inlineStr">
        <is>
          <t>Sustentado</t>
        </is>
      </c>
      <c r="M106" s="3" t="n"/>
    </row>
    <row r="107" ht="25.5" customHeight="1">
      <c r="A107" s="2" t="n">
        <v>107</v>
      </c>
      <c r="B107" s="3" t="inlineStr">
        <is>
          <t>20221395004.0</t>
        </is>
      </c>
      <c r="C107" s="3" t="inlineStr">
        <is>
          <t>GITEM</t>
        </is>
      </c>
      <c r="D107" s="3" t="inlineStr">
        <is>
          <t>METODOLOGÍA PARA LA CLARIFICACIÓN DEL TERRITORIO; RESGUARDO INDÍGENA LLANOS DEL YARI YAGUARA 2.</t>
        </is>
      </c>
      <c r="E107" s="4" t="n">
        <v>2025</v>
      </c>
      <c r="F107" s="3" t="inlineStr">
        <is>
          <t>Profundización</t>
        </is>
      </c>
      <c r="G107" s="3" t="inlineStr">
        <is>
          <t>Paulo Cesar Coronado Sanchez</t>
        </is>
      </c>
      <c r="H107" s="3" t="inlineStr">
        <is>
          <t>GUERRERO VARONA LUIS MIGUEL</t>
        </is>
      </c>
      <c r="I107" s="3" t="inlineStr">
        <is>
          <t>2025-02-28</t>
        </is>
      </c>
      <c r="J107" s="3" t="n"/>
      <c r="K107" s="3" t="inlineStr">
        <is>
          <t>MCIC - Base de datos V2.xlsx — N-A Profundizacion</t>
        </is>
      </c>
      <c r="L107" s="3" t="inlineStr">
        <is>
          <t>Sustentado</t>
        </is>
      </c>
      <c r="M107" s="3" t="n"/>
    </row>
    <row r="108" ht="25.5" customHeight="1">
      <c r="A108" s="2" t="n">
        <v>108</v>
      </c>
      <c r="B108" s="3" t="inlineStr">
        <is>
          <t>20161195008.0</t>
        </is>
      </c>
      <c r="C108" s="3" t="inlineStr">
        <is>
          <t>INTERNET INTELIGENTE</t>
        </is>
      </c>
      <c r="D108" s="3" t="inlineStr">
        <is>
          <t>DISEÑO E IMPLEMENTACION DE UN ENTORNO IOT EN CULTIVOS DE MAIZ EN LA VEREDA DE PIEDRALARGA DEL MUNICIPIO DE CIENAGA  BOYACA</t>
        </is>
      </c>
      <c r="E108" s="4" t="n">
        <v>2023</v>
      </c>
      <c r="F108" s="3" t="inlineStr">
        <is>
          <t>Profundización</t>
        </is>
      </c>
      <c r="G108" s="3" t="inlineStr">
        <is>
          <t>Octavio Jose Salcedo Parra</t>
        </is>
      </c>
      <c r="H108" s="3" t="inlineStr">
        <is>
          <t>GONZALEZ PRIETO FREDY ALEXANDER</t>
        </is>
      </c>
      <c r="I108" s="3" t="inlineStr">
        <is>
          <t>2023-05-23</t>
        </is>
      </c>
      <c r="J108" s="3" t="n"/>
      <c r="K108" s="3" t="inlineStr">
        <is>
          <t>MCIC - Base de datos V2.xlsx — Acuerdo Antiguo</t>
        </is>
      </c>
      <c r="L108" s="3" t="inlineStr">
        <is>
          <t>Sustentado</t>
        </is>
      </c>
      <c r="M108" s="3" t="inlineStr">
        <is>
          <t>Grupo completado mediante cruce nominal del director con el directorio institucional de grupos (https://pi.udistrital.edu.co/Unidad-Ingenieria/investigacion); asociación explícita del director con INTERNET INTELIGENTE. Consulta: 2026-09-19.</t>
        </is>
      </c>
    </row>
    <row r="109" ht="63.75" customHeight="1">
      <c r="A109" s="2" t="n">
        <v>110</v>
      </c>
      <c r="B109" s="3" t="inlineStr">
        <is>
          <t>20191495019.0</t>
        </is>
      </c>
      <c r="C109" s="3" t="inlineStr">
        <is>
          <t>Multimedia Interactiva y Animación Digital</t>
        </is>
      </c>
      <c r="D109" s="3" t="inlineStr">
        <is>
          <t>MODELO DE UN ECOSISTEMA DE REALIDAD VIRTUAL GAMIFICADO ORIENTADO A POTENCIAR LOS PENSAMIENTOS LOGICO MATEMATICO Y ESPACIAL EN NIÑOS DE SEIS A OCHO AÑOS</t>
        </is>
      </c>
      <c r="E109" s="4" t="n">
        <v>2023</v>
      </c>
      <c r="F109" s="3" t="inlineStr">
        <is>
          <t>Profundización</t>
        </is>
      </c>
      <c r="G109" s="3" t="inlineStr">
        <is>
          <t>Paulo Alonso Gaona Garcia</t>
        </is>
      </c>
      <c r="H109" s="3" t="inlineStr">
        <is>
          <t>ORJUELA VELÁSQUEZ SERGIO DAVID</t>
        </is>
      </c>
      <c r="I109" s="3" t="inlineStr">
        <is>
          <t>Acta 027-2023</t>
        </is>
      </c>
      <c r="J109" s="3" t="n"/>
      <c r="K109" s="3" t="inlineStr">
        <is>
          <t>MCIC - Base de datos V2.xlsx — Pasantías</t>
        </is>
      </c>
      <c r="L109" s="3" t="inlineStr">
        <is>
          <t>Sustentado</t>
        </is>
      </c>
      <c r="M109" s="3" t="n"/>
    </row>
    <row r="110" ht="63.75" customHeight="1">
      <c r="A110" s="2" t="n">
        <v>111</v>
      </c>
      <c r="B110" s="3" t="inlineStr">
        <is>
          <t>20181495006.0</t>
        </is>
      </c>
      <c r="C110" s="3" t="inlineStr">
        <is>
          <t>XUE</t>
        </is>
      </c>
      <c r="D110" s="3" t="inlineStr">
        <is>
          <t>APOYO TÉCNICO Y ADMINISTRATIVO EN EL MARCO DE CONVENIO Y
CONTRATO DE COOPERACIÓN INTERADMINISTRATIVO PARA REALIZAR
UN EJERCICIO DE CIENCIA DE DATOS CON UN PROBLEMA DE LA UNIDAD
NACIONAL DE PROTECCIÓN (UNP)</t>
        </is>
      </c>
      <c r="E110" s="4" t="n">
        <v>2024</v>
      </c>
      <c r="F110" s="3" t="inlineStr">
        <is>
          <t>Profundización</t>
        </is>
      </c>
      <c r="G110" s="3" t="inlineStr">
        <is>
          <t>Andres Escobar Diaz</t>
        </is>
      </c>
      <c r="H110" s="3" t="n"/>
      <c r="I110" s="3" t="inlineStr">
        <is>
          <t>Acta 011/2024</t>
        </is>
      </c>
      <c r="J110" s="3" t="n"/>
      <c r="K110" s="3" t="inlineStr">
        <is>
          <t>MCIC - Base de datos V2.xlsx — Pasantías</t>
        </is>
      </c>
      <c r="L110" s="3" t="inlineStr">
        <is>
          <t>Sustentado</t>
        </is>
      </c>
      <c r="M110" s="3" t="n"/>
    </row>
    <row r="111" ht="38.25" customHeight="1">
      <c r="A111" s="2" t="n">
        <v>112</v>
      </c>
      <c r="B111" s="3" t="inlineStr">
        <is>
          <t>20152195007.0</t>
        </is>
      </c>
      <c r="C111" s="3" t="inlineStr">
        <is>
          <t>GITUD</t>
        </is>
      </c>
      <c r="D111" s="3" t="inlineStr">
        <is>
          <t>DESARROLLO DE UN MODELO DE PREDICCIÓN DE CONSUMO DE ENERGÍA EN COMUNIDADES ZNI A TRAVÉS DE INTELIGENCIA ARTIFICIAL</t>
        </is>
      </c>
      <c r="E111" s="4" t="n">
        <v>2026</v>
      </c>
      <c r="F111" s="3" t="inlineStr">
        <is>
          <t>Investigación</t>
        </is>
      </c>
      <c r="G111" s="3" t="inlineStr">
        <is>
          <t>Diego Julián Rodríguez Patarroyo
Codirector: Elvis Eduardo Gaona García</t>
        </is>
      </c>
      <c r="H111" s="3" t="inlineStr">
        <is>
          <t>CUELLAR SALINAS JOHAN NICOLAS</t>
        </is>
      </c>
      <c r="I111" s="3" t="inlineStr">
        <is>
          <t>2026-05-25 | Acta 012-2026</t>
        </is>
      </c>
      <c r="J111" s="3" t="n"/>
      <c r="K111" s="3" t="inlineStr">
        <is>
          <t>MCIC - Base de datos INVESTIGACION.xlsx — N-A Investigación | Programación sustentaciones.xlsx</t>
        </is>
      </c>
      <c r="L111" s="3" t="inlineStr">
        <is>
          <t>Sustentado</t>
        </is>
      </c>
      <c r="M111" s="3" t="n"/>
    </row>
    <row r="112" ht="63.75" customHeight="1">
      <c r="A112" s="2" t="n">
        <v>113</v>
      </c>
      <c r="B112" s="3" t="inlineStr">
        <is>
          <t>20162195001.0</t>
        </is>
      </c>
      <c r="C112" s="3" t="inlineStr">
        <is>
          <t>LASER</t>
        </is>
      </c>
      <c r="D112" s="3" t="inlineStr">
        <is>
          <t>ESTRATEGIA PREDICTIVA DE CONTROL SOBRE UNA RED SUJETA A PÉRDIDA DE PAQUETES</t>
        </is>
      </c>
      <c r="E112" s="4" t="n">
        <v>2026</v>
      </c>
      <c r="F112" s="3" t="inlineStr">
        <is>
          <t>Investigación</t>
        </is>
      </c>
      <c r="G112" s="3" t="inlineStr">
        <is>
          <t>Andrés Leonardo Jutinicio Alarcón</t>
        </is>
      </c>
      <c r="H112" s="3" t="inlineStr">
        <is>
          <t>ALAYON MORA RICARDO ARTURO</t>
        </is>
      </c>
      <c r="I112" s="3" t="inlineStr">
        <is>
          <t>2026-06-09 | Acta 017-2026</t>
        </is>
      </c>
      <c r="J112" s="3" t="n"/>
      <c r="K112" s="3" t="inlineStr">
        <is>
          <t>MCIC - Base de datos INVESTIGACION.xlsx — N-A Investigación | Programación sustentaciones.xlsx</t>
        </is>
      </c>
      <c r="L112" s="3" t="inlineStr">
        <is>
          <t>Sustentado</t>
        </is>
      </c>
      <c r="M112" s="3" t="n"/>
    </row>
    <row r="113" ht="38.25" customHeight="1">
      <c r="A113" s="2" t="n">
        <v>114</v>
      </c>
      <c r="B113" s="3" t="inlineStr">
        <is>
          <t>20172495004.0</t>
        </is>
      </c>
      <c r="C113" s="3" t="inlineStr">
        <is>
          <t>LIDER</t>
        </is>
      </c>
      <c r="D113" s="3" t="inlineStr">
        <is>
          <t>MODELOS DE MACHINE LEARNING PARA LA PREDICCIÓN DE TRAYECTORIAS DE TRANSPORTE URBANO BRT: SISTEMA DE TRANSMILENIO, BOGOTÁ D.C</t>
        </is>
      </c>
      <c r="E113" s="4" t="n">
        <v>2026</v>
      </c>
      <c r="F113" s="3" t="inlineStr">
        <is>
          <t>Investigación</t>
        </is>
      </c>
      <c r="G113" s="3" t="inlineStr">
        <is>
          <t>Roberto Ferro Escobar</t>
        </is>
      </c>
      <c r="H113" s="3" t="inlineStr">
        <is>
          <t>CUCHIA RUIZ JAIME ANDRÉS</t>
        </is>
      </c>
      <c r="I113" s="3" t="inlineStr">
        <is>
          <t>2026-06-12 | Acta 021-2026</t>
        </is>
      </c>
      <c r="J113" s="3" t="n"/>
      <c r="K113" s="3" t="inlineStr">
        <is>
          <t>MCIC - Base de datos INVESTIGACION.xlsx — N-A Investigación | Programación sustentaciones.xlsx | Solicitud MCIC - Trabajos de grado grupop LIDER.xlsx</t>
        </is>
      </c>
      <c r="L113" s="3" t="inlineStr">
        <is>
          <t>Sustentado</t>
        </is>
      </c>
      <c r="M113" s="3" t="inlineStr">
        <is>
          <t>Grupo LIDER confirmado; año(s) de aval reportado(s): 2025. Se conserva el año de sustentación del registro principal.</t>
        </is>
      </c>
    </row>
    <row r="114" ht="25.5" customHeight="1">
      <c r="A114" s="2" t="n">
        <v>115</v>
      </c>
      <c r="B114" s="3" t="inlineStr">
        <is>
          <t>20181495009.0</t>
        </is>
      </c>
      <c r="C114" s="3" t="inlineStr">
        <is>
          <t>INTERNET INTELIGENTE</t>
        </is>
      </c>
      <c r="D114" s="3" t="inlineStr">
        <is>
          <t>DISEÑO E IMPLEMENTACIÓN DE REDES RURALES LPWAN CON APLICACIONES A AGRICULTURA INTELIGENTE</t>
        </is>
      </c>
      <c r="E114" s="4" t="n">
        <v>2026</v>
      </c>
      <c r="F114" s="3" t="inlineStr">
        <is>
          <t>Investigación</t>
        </is>
      </c>
      <c r="G114" s="3" t="inlineStr">
        <is>
          <t>Octavio José Salcedo Parra</t>
        </is>
      </c>
      <c r="H114" s="3" t="inlineStr">
        <is>
          <t>ERAZO GUERRERO HERNAN ALVEIRO</t>
        </is>
      </c>
      <c r="I114" s="3" t="inlineStr">
        <is>
          <t>2026-05-13 | Acta 007 - 2026</t>
        </is>
      </c>
      <c r="J114" s="3" t="n"/>
      <c r="K114" s="3" t="inlineStr">
        <is>
          <t>MCIC - Base de datos INVESTIGACION.xlsx — N-A Investigación | Programación sustentaciones.xlsx</t>
        </is>
      </c>
      <c r="L114" s="3" t="inlineStr">
        <is>
          <t>Sustentado</t>
        </is>
      </c>
      <c r="M114" s="3" t="n"/>
    </row>
    <row r="115" ht="38.25" customHeight="1">
      <c r="A115" s="2" t="n">
        <v>116</v>
      </c>
      <c r="B115" s="3" t="inlineStr">
        <is>
          <t>20171495019.0</t>
        </is>
      </c>
      <c r="C115" s="3" t="inlineStr">
        <is>
          <t>IAFT</t>
        </is>
      </c>
      <c r="D115" s="3" t="inlineStr">
        <is>
          <t>Modelo de clasificación automática de texto en idioma indigena wayuunaki que icorpora caracteristicas gramaticales</t>
        </is>
      </c>
      <c r="E115" s="4" t="n">
        <v>2025</v>
      </c>
      <c r="F115" s="3" t="inlineStr">
        <is>
          <t>Investigación</t>
        </is>
      </c>
      <c r="G115" s="3" t="inlineStr">
        <is>
          <t>Jorge Enrique Rodriguez Rodriguez</t>
        </is>
      </c>
      <c r="H115" s="3" t="inlineStr">
        <is>
          <t>SALAZAR BAEZ DIANA MILENA</t>
        </is>
      </c>
      <c r="I115" s="3" t="inlineStr">
        <is>
          <t>2025-06-13</t>
        </is>
      </c>
      <c r="J115" s="3" t="n"/>
      <c r="K115" s="3" t="inlineStr">
        <is>
          <t>MCIC - Base de datos INVESTIGACION.xlsx — N-A Investigación</t>
        </is>
      </c>
      <c r="L115" s="3" t="inlineStr">
        <is>
          <t>Sustentado</t>
        </is>
      </c>
      <c r="M115" s="3" t="n"/>
    </row>
    <row r="116" ht="25.5" customHeight="1">
      <c r="A116" s="2" t="n">
        <v>117</v>
      </c>
      <c r="B116" s="3" t="inlineStr">
        <is>
          <t>20161195011.0</t>
        </is>
      </c>
      <c r="C116" s="3" t="inlineStr">
        <is>
          <t>GESETIC</t>
        </is>
      </c>
      <c r="D116" s="3" t="inlineStr">
        <is>
          <t>Metodología Para Caracterización De Amenazas En Sistemas De Control Y Protección De Subestaciones Eléctricas De Transmisión</t>
        </is>
      </c>
      <c r="E116" s="4" t="n">
        <v>2026</v>
      </c>
      <c r="F116" s="3" t="inlineStr">
        <is>
          <t>Profundización</t>
        </is>
      </c>
      <c r="G116" s="3" t="inlineStr">
        <is>
          <t>Álvaro Espinel Ortega 
Codirector: Juan Carlos Carreño Pérz</t>
        </is>
      </c>
      <c r="H116" s="3" t="inlineStr">
        <is>
          <t>MORALES RIVERA JUAN PABLO</t>
        </is>
      </c>
      <c r="I116" s="3" t="inlineStr">
        <is>
          <t>2026-06-10 | Acta 019-2026</t>
        </is>
      </c>
      <c r="J116" s="3" t="n"/>
      <c r="K116" s="3" t="inlineStr">
        <is>
          <t>MCIC - Base de datos Profundizacion.xlsx — N-A Profundizacion | Programación sustentaciones.xlsx</t>
        </is>
      </c>
      <c r="L116" s="3" t="inlineStr">
        <is>
          <t>Sustentado</t>
        </is>
      </c>
      <c r="M116" s="3" t="n"/>
    </row>
    <row r="117" ht="25.5" customHeight="1">
      <c r="A117" s="2" t="n">
        <v>118</v>
      </c>
      <c r="B117" s="3" t="inlineStr">
        <is>
          <t>20241695016.0</t>
        </is>
      </c>
      <c r="C117" s="3" t="inlineStr">
        <is>
          <t>LASER</t>
        </is>
      </c>
      <c r="D117" s="3" t="inlineStr">
        <is>
          <t>Metodología para la 
Actualización y 
Modernización del Sistema 
AWOS de los Aeropuertos de 
Colombia</t>
        </is>
      </c>
      <c r="E117" s="4" t="n">
        <v>2025</v>
      </c>
      <c r="F117" s="3" t="inlineStr">
        <is>
          <t>Pasantía</t>
        </is>
      </c>
      <c r="G117" s="3" t="inlineStr">
        <is>
          <t>Cesar Andrey Perdomo Charry</t>
        </is>
      </c>
      <c r="H117" s="3" t="inlineStr">
        <is>
          <t>PUENTES PEDRAZA KEVIN JULIAN</t>
        </is>
      </c>
      <c r="I117" s="3" t="inlineStr">
        <is>
          <t>Acta 002-2025</t>
        </is>
      </c>
      <c r="J117" s="3" t="n"/>
      <c r="K117" s="3" t="inlineStr">
        <is>
          <t>MCIC - Base de datos Profundizacion.xlsx — Pasantías</t>
        </is>
      </c>
      <c r="L117" s="3" t="inlineStr">
        <is>
          <t>Sustentado</t>
        </is>
      </c>
      <c r="M117" s="3" t="n"/>
    </row>
    <row r="118" ht="38.25" customHeight="1">
      <c r="A118" s="2" t="n">
        <v>119</v>
      </c>
      <c r="B118" s="3" t="inlineStr">
        <is>
          <t>20241695017.0</t>
        </is>
      </c>
      <c r="C118" s="3" t="inlineStr">
        <is>
          <t>LASER</t>
        </is>
      </c>
      <c r="D118" s="3" t="inlineStr">
        <is>
          <t>MODELO DE ARQUITECTURA PARA EL ALMACENAMIENTO DE DATOS DE RADARES METEOROLÓGICOS</t>
        </is>
      </c>
      <c r="E118" s="4" t="n">
        <v>2025</v>
      </c>
      <c r="F118" s="3" t="inlineStr">
        <is>
          <t>Pasantía</t>
        </is>
      </c>
      <c r="G118" s="3" t="inlineStr">
        <is>
          <t>Cesar Andrey Perdomo Charry</t>
        </is>
      </c>
      <c r="H118" s="3" t="inlineStr">
        <is>
          <t>PUENTES RIVERO JONATHAN</t>
        </is>
      </c>
      <c r="I118" s="3" t="inlineStr">
        <is>
          <t>Acta 001-2025</t>
        </is>
      </c>
      <c r="J118" s="3" t="n"/>
      <c r="K118" s="3" t="inlineStr">
        <is>
          <t>MCIC - Base de datos Profundizacion.xlsx — Pasantías</t>
        </is>
      </c>
      <c r="L118" s="3" t="inlineStr">
        <is>
          <t>Sustentado</t>
        </is>
      </c>
      <c r="M118" s="3" t="n"/>
    </row>
    <row r="119" ht="63.75" customHeight="1">
      <c r="A119" s="2" t="n">
        <v>120</v>
      </c>
      <c r="B119" s="3" t="inlineStr">
        <is>
          <t>20241695014.0</t>
        </is>
      </c>
      <c r="C119" s="3" t="inlineStr">
        <is>
          <t>NIDE</t>
        </is>
      </c>
      <c r="D119" s="3" t="inlineStr">
        <is>
          <t>AUTOMATIZACIÓN DEL PROCESO DE CONFIGURACIÓN INICIAL DE UN SITIO WEB PARA LA GESTIÓN DE SEGMENTACIONES SEMÁNTICAS MANUALES Y ELABORACIÓN DE PROPUESTA DE INVESTIGACIÓN DE UN MÉTODO INDIRECTO PARA LA DETERMINACIÓN DE ZONAS HOMOGÉNEAS FÍSICAS RURALES</t>
        </is>
      </c>
      <c r="E119" s="4" t="n">
        <v>2025</v>
      </c>
      <c r="F119" s="3" t="inlineStr">
        <is>
          <t>Pasantía</t>
        </is>
      </c>
      <c r="G119" s="3" t="inlineStr">
        <is>
          <t>Jose Antonio Valero</t>
        </is>
      </c>
      <c r="H119" s="3" t="inlineStr">
        <is>
          <t>ORTIZ MONCADA HAESSLER JOAN</t>
        </is>
      </c>
      <c r="I119" s="3" t="inlineStr">
        <is>
          <t>Acta 003-2025</t>
        </is>
      </c>
      <c r="J119" s="3" t="n"/>
      <c r="K119" s="3" t="inlineStr">
        <is>
          <t>Bronze/Datos/MCIC-PROFUNDIZACION/2024/ACTA CONSEJO/Acta 007 de 2024/20241695014 CartaAvalGrupoDeInvestigacionNIDE.pdf</t>
        </is>
      </c>
      <c r="L119" s="3" t="inlineStr">
        <is>
          <t>Sustentado</t>
        </is>
      </c>
      <c r="M119" s="3" t="inlineStr">
        <is>
          <t>Carta de Aval formal del grupo NIDE para pasantía verificada en Bronze.</t>
        </is>
      </c>
    </row>
    <row r="120" ht="25.5" customHeight="1">
      <c r="A120" s="2" t="n">
        <v>121</v>
      </c>
      <c r="B120" s="3" t="inlineStr">
        <is>
          <t>20212395005.0</t>
        </is>
      </c>
      <c r="C120" s="3" t="inlineStr">
        <is>
          <t>LIDER</t>
        </is>
      </c>
      <c r="D120" s="3" t="inlineStr">
        <is>
          <t>Modelo de analítica al servicio del sector inmobiliario</t>
        </is>
      </c>
      <c r="E120" s="4" t="n">
        <v>2026</v>
      </c>
      <c r="F120" s="3" t="inlineStr">
        <is>
          <t>Investigación</t>
        </is>
      </c>
      <c r="G120" s="3" t="inlineStr">
        <is>
          <t>Roberto Ferro Escobar</t>
        </is>
      </c>
      <c r="H120" s="3" t="inlineStr">
        <is>
          <t>ALEXANDER MOGOLLON DIAZ</t>
        </is>
      </c>
      <c r="I120" s="3" t="inlineStr">
        <is>
          <t>2026-03-25 | Acta 001-206</t>
        </is>
      </c>
      <c r="J120" s="3" t="n"/>
      <c r="K120" s="3" t="inlineStr">
        <is>
          <t>Programación sustentaciones.xlsx — MCIC GRANDE | Solicitud MCIC - Trabajos de grado grupop LIDER.xlsx</t>
        </is>
      </c>
      <c r="L120" s="3" t="inlineStr">
        <is>
          <t>Sustentado</t>
        </is>
      </c>
      <c r="M120" s="3" t="inlineStr">
        <is>
          <t>Grupo LIDER confirmado; año(s) de aval reportado(s): 2025. Se conserva el año de sustentación del registro principal.</t>
        </is>
      </c>
    </row>
    <row r="121" ht="63.75" customHeight="1">
      <c r="A121" s="2" t="n">
        <v>122</v>
      </c>
      <c r="B121" s="3" t="inlineStr">
        <is>
          <t>20182395007.0</t>
        </is>
      </c>
      <c r="C121" s="3" t="inlineStr">
        <is>
          <t>PROPROBOS</t>
        </is>
      </c>
      <c r="D121" s="3" t="inlineStr">
        <is>
          <t>MODELADO PREDICTIVO DE LA INCIDENCIA DEL DETERIORO DEL ARBOLADO URBANO CON APRENDIZAJE AUTOMÁTICO Y GIS: IMPLEMENTACIÓN DE SERVICIOS GEOGRÁFICOS WEB PARA UNA ZONIFICACIÓN DE MANEJO PARA LA CIUDAD DE CALI -COLOMBIA</t>
        </is>
      </c>
      <c r="E121" s="4" t="n">
        <v>2026</v>
      </c>
      <c r="F121" s="3" t="inlineStr">
        <is>
          <t>Investigación</t>
        </is>
      </c>
      <c r="G121" s="3" t="inlineStr">
        <is>
          <t>Max Alejandro Triana Gómez</t>
        </is>
      </c>
      <c r="H121" s="3" t="inlineStr">
        <is>
          <t>Cristian Camilo Hurtado Vásquez</t>
        </is>
      </c>
      <c r="I121" s="3" t="inlineStr">
        <is>
          <t>Acta 004-2026</t>
        </is>
      </c>
      <c r="J121" s="3" t="n"/>
      <c r="K121" s="3" t="inlineStr">
        <is>
          <t>Bronze/Datos/Maestria CIC/ESTUDIANTES/ESTUDIANTES/ARCHIVO ESTUDIANTES/20182395007 - CRISTIAN CAMILO HURTADO VÁSQUEZ/20182395007 Viabilidad.pdf</t>
        </is>
      </c>
      <c r="L121" s="3" t="inlineStr">
        <is>
          <t>Sustentado</t>
        </is>
      </c>
      <c r="M121" s="3" t="inlineStr">
        <is>
          <t>Carta de Aval y Viabilidad formal del grupo PROPROBOS verificada en Bronze.</t>
        </is>
      </c>
    </row>
    <row r="122" ht="25.5" customHeight="1">
      <c r="A122" s="2" t="n">
        <v>123</v>
      </c>
      <c r="B122" s="3" t="inlineStr">
        <is>
          <t>20192195003.0</t>
        </is>
      </c>
      <c r="C122" s="3" t="inlineStr">
        <is>
          <t>CEPMS</t>
        </is>
      </c>
      <c r="D122" s="3" t="inlineStr">
        <is>
          <t>Un modelo de clasificación del estado del pavimento a partir de imágenes, tomas video y señales de GNSS</t>
        </is>
      </c>
      <c r="E122" s="4" t="n">
        <v>2026</v>
      </c>
      <c r="F122" s="3" t="inlineStr">
        <is>
          <t>Investigación</t>
        </is>
      </c>
      <c r="G122" s="3" t="inlineStr">
        <is>
          <t>Wilmar Darío Fernández Gómez</t>
        </is>
      </c>
      <c r="H122" s="3" t="inlineStr">
        <is>
          <t>Diego Fernando Espinel Gómez</t>
        </is>
      </c>
      <c r="I122" s="3" t="inlineStr">
        <is>
          <t>Acta 002-2026</t>
        </is>
      </c>
      <c r="J122" s="3" t="n"/>
      <c r="K122" s="3" t="inlineStr">
        <is>
          <t>Bronze/Datos/Maestria CIC/ESTUDIANTES/ESTUDIANTES/ARCHIVO ESTUDIANTES/20192195003 - DIEGO FERNANDO ESPINAL GÓMEZ/20192195003 Carta aval grupo de investigacion-signed ya.pdf</t>
        </is>
      </c>
      <c r="L122" s="3" t="inlineStr">
        <is>
          <t>Sustentado</t>
        </is>
      </c>
      <c r="M122" s="3" t="inlineStr">
        <is>
          <t>Carta de Aval y Viabilidad formal del grupo CEPMS verificada en Bronze.</t>
        </is>
      </c>
    </row>
    <row r="123" ht="63.75" customHeight="1">
      <c r="A123" s="2" t="n">
        <v>124</v>
      </c>
      <c r="B123" s="3" t="inlineStr">
        <is>
          <t>20202395004.0</t>
        </is>
      </c>
      <c r="C123" s="3" t="inlineStr">
        <is>
          <t>NIDE</t>
        </is>
      </c>
      <c r="D123" s="3" t="inlineStr">
        <is>
          <t>Una implementación de la propuesta de modelo extendido de administración de tierras (LADM-COL) para el inventario vial.</t>
        </is>
      </c>
      <c r="E123" s="4" t="n">
        <v>2026</v>
      </c>
      <c r="F123" s="3" t="inlineStr">
        <is>
          <t>Investigación</t>
        </is>
      </c>
      <c r="G123" s="3" t="inlineStr">
        <is>
          <t>Wilmar Darío Fernández Gómez - Luz Angela Rocha Salamanca</t>
        </is>
      </c>
      <c r="H123" s="3" t="inlineStr">
        <is>
          <t>Ariana Carolina Cruz Hincapié</t>
        </is>
      </c>
      <c r="I123" s="3" t="inlineStr">
        <is>
          <t>2026-05-07 | Acta 003 - 2026</t>
        </is>
      </c>
      <c r="J123" s="3" t="n"/>
      <c r="K123" s="3" t="inlineStr">
        <is>
          <t>Programación sustentaciones.xlsx — MCIC GRANDE</t>
        </is>
      </c>
      <c r="L123" s="3" t="inlineStr">
        <is>
          <t>Sustentado</t>
        </is>
      </c>
      <c r="M123" s="3" t="inlineStr">
        <is>
          <t>Grupo completado por coincidencia nominal consistente del director en otros registros del consolidado (NIDE); el portal institucional se usó como catálogo de contraste. Validar con certificación del grupo si se requiere soporte individual.</t>
        </is>
      </c>
    </row>
    <row r="124" ht="63.75" customHeight="1">
      <c r="A124" s="2" t="n">
        <v>125</v>
      </c>
      <c r="B124" s="3" t="inlineStr">
        <is>
          <t>20211195002.0</t>
        </is>
      </c>
      <c r="C124" s="3" t="inlineStr">
        <is>
          <t>INTERNET INTELIGENTE</t>
        </is>
      </c>
      <c r="D124" s="3" t="inlineStr">
        <is>
          <t>MODELO PREDICTIVO BASADO EN APRENDIZAJE AUTOMÁTICO PARA LA ESTIMACIÓN DE LA COMPENSACIÓN VOLUMÉTRICA POR CALIDAD (CVC) EN SISTEMAS DE TRANSPORTE DE CRUDO EN COLOMBIA</t>
        </is>
      </c>
      <c r="E124" s="4" t="n">
        <v>2026</v>
      </c>
      <c r="F124" s="3" t="inlineStr">
        <is>
          <t>Profundización</t>
        </is>
      </c>
      <c r="G124" s="3" t="inlineStr">
        <is>
          <t>Octavio José Salcedo Parra</t>
        </is>
      </c>
      <c r="H124" s="3" t="inlineStr">
        <is>
          <t>William Roberto Garcia Rincón</t>
        </is>
      </c>
      <c r="I124" s="3" t="inlineStr">
        <is>
          <t>2026-06-01 | Acta 015 - 2026</t>
        </is>
      </c>
      <c r="J124" s="3" t="n"/>
      <c r="K124" s="3" t="inlineStr">
        <is>
          <t>Programación sustentaciones.xlsx — MCIC GRANDE</t>
        </is>
      </c>
      <c r="L124" s="3" t="inlineStr">
        <is>
          <t>Sustentado</t>
        </is>
      </c>
      <c r="M124" s="3" t="inlineStr">
        <is>
          <t>Grupo completado mediante cruce nominal del director con el directorio institucional de grupos (https://pi.udistrital.edu.co/Unidad-Ingenieria/investigacion); asociación explícita del director con INTERNET INTELIGENTE. Consulta: 2026-09-19.</t>
        </is>
      </c>
    </row>
    <row r="125" ht="51" customHeight="1">
      <c r="A125" s="2" t="n">
        <v>126</v>
      </c>
      <c r="B125" s="3" t="inlineStr">
        <is>
          <t>20211495007.0</t>
        </is>
      </c>
      <c r="C125" s="3" t="inlineStr">
        <is>
          <t>INTERNET INTELIGENTE</t>
        </is>
      </c>
      <c r="D125" s="3" t="inlineStr">
        <is>
          <t>PROTOTIPO DE SISTEMA LUMINICO PARA LA PRODUCCION CONTROLADA DE PLANTAS MEDICINALES DE LA TAXONOMIA CANNABIS SATIVA VAR. RUDERALIS UTILIZANDO ENERGIAS ALTERNATIVAS</t>
        </is>
      </c>
      <c r="E125" s="4" t="n">
        <v>2026</v>
      </c>
      <c r="F125" s="3" t="inlineStr">
        <is>
          <t>Profundización</t>
        </is>
      </c>
      <c r="G125" s="3" t="inlineStr">
        <is>
          <t>Octavio José Salcedo Parra</t>
        </is>
      </c>
      <c r="H125" s="3" t="inlineStr">
        <is>
          <t>Omar Pedraza Romero</t>
        </is>
      </c>
      <c r="I125" s="3" t="inlineStr">
        <is>
          <t>2026-05-13 | Acta 006 - 2026</t>
        </is>
      </c>
      <c r="J125" s="3" t="n"/>
      <c r="K125" s="3" t="inlineStr">
        <is>
          <t>Programación sustentaciones.xlsx — MCIC GRANDE</t>
        </is>
      </c>
      <c r="L125" s="3" t="inlineStr">
        <is>
          <t>Sustentado</t>
        </is>
      </c>
      <c r="M125" s="3" t="inlineStr">
        <is>
          <t>Grupo completado mediante cruce nominal del director con el directorio institucional de grupos (https://pi.udistrital.edu.co/Unidad-Ingenieria/investigacion); asociación explícita del director con INTERNET INTELIGENTE. Consulta: 2026-09-19.</t>
        </is>
      </c>
    </row>
    <row r="126" ht="63.75" customHeight="1">
      <c r="A126" s="2" t="n">
        <v>127</v>
      </c>
      <c r="B126" s="3" t="inlineStr">
        <is>
          <t>20212495007.0</t>
        </is>
      </c>
      <c r="C126" s="3" t="inlineStr">
        <is>
          <t>LIDER</t>
        </is>
      </c>
      <c r="D126" s="3" t="inlineStr">
        <is>
          <t>DISEÑO E IMPLEMENTACIÓN DE UN MODELO DE TRAZABILIDAD DESCENTRALIZADA EN LA CADENA DE SUMINISTRO DE MEDICAMENTOS</t>
        </is>
      </c>
      <c r="E126" s="4" t="n">
        <v>2026</v>
      </c>
      <c r="F126" s="3" t="inlineStr">
        <is>
          <t>Profundización</t>
        </is>
      </c>
      <c r="G126" s="3" t="inlineStr">
        <is>
          <t>Roberto Albeiro Pava Díaz / Darío Alejandro Segura Torres</t>
        </is>
      </c>
      <c r="H126" s="3" t="inlineStr">
        <is>
          <t>Nidia Helena Sandoval Mesa</t>
        </is>
      </c>
      <c r="I126" s="3" t="inlineStr">
        <is>
          <t>2026-05-21 | Acta 010 - 2026</t>
        </is>
      </c>
      <c r="J126" s="3" t="n"/>
      <c r="K126" s="3" t="inlineStr">
        <is>
          <t>Programación sustentaciones.xlsx — MCIC GRANDE | Solicitud MCIC - Trabajos de grado grupop LIDER.xlsx</t>
        </is>
      </c>
      <c r="L126" s="3" t="inlineStr">
        <is>
          <t>Sustentado</t>
        </is>
      </c>
      <c r="M126" s="3" t="inlineStr">
        <is>
          <t>Grupo LIDER confirmado; año(s) de aval reportado(s): 2025. Se conserva el año de sustentación del registro principal.</t>
        </is>
      </c>
    </row>
    <row r="127" ht="63.75" customHeight="1">
      <c r="A127" s="2" t="n">
        <v>128</v>
      </c>
      <c r="B127" s="3" t="inlineStr">
        <is>
          <t>20192395005.0</t>
        </is>
      </c>
      <c r="C127" s="3" t="inlineStr">
        <is>
          <t>NIDE</t>
        </is>
      </c>
      <c r="D127" s="3" t="inlineStr">
        <is>
          <t>VULNERAVILIDAD TERRITORIAL A LA QUEMA DE BIOMASA EN CIUDAD BOLÍVAR, BOGOTÁ 2024</t>
        </is>
      </c>
      <c r="E127" s="4" t="n">
        <v>2026</v>
      </c>
      <c r="F127" s="3" t="inlineStr">
        <is>
          <t>Profundización</t>
        </is>
      </c>
      <c r="G127" s="3" t="inlineStr">
        <is>
          <t>Carlos Hernán Castro Ortega</t>
        </is>
      </c>
      <c r="H127" s="3" t="inlineStr">
        <is>
          <t>Natalia Caita Sotaquira</t>
        </is>
      </c>
      <c r="I127" s="3" t="inlineStr">
        <is>
          <t>Acta 011-2026</t>
        </is>
      </c>
      <c r="J127" s="3" t="n"/>
      <c r="K127" s="3" t="inlineStr">
        <is>
          <t>Bronze/Datos/Maestria CIC/2025/Acta/Acta 020/20192395005 Carta aval grupo de investigacion_firmada_Castro.pdf</t>
        </is>
      </c>
      <c r="L127" s="3" t="inlineStr">
        <is>
          <t>Sustentado</t>
        </is>
      </c>
      <c r="M127" s="3" t="inlineStr">
        <is>
          <t>Carta de Aval y Viabilidad formal del grupo NIDE verificada en Bronze.</t>
        </is>
      </c>
    </row>
    <row r="128" ht="38.25" customHeight="1">
      <c r="A128" s="2" t="n">
        <v>129</v>
      </c>
      <c r="B128" s="3" t="inlineStr">
        <is>
          <t>20212495008.0</t>
        </is>
      </c>
      <c r="C128" s="3" t="inlineStr">
        <is>
          <t>INTERNET INTELIGENTE</t>
        </is>
      </c>
      <c r="D128" s="3" t="inlineStr">
        <is>
          <t>MODELO PARA LA EVALUACIÓN DE INFORMES DE INTERCEPTACIÓN DE COMUNICACIONES TELEFÓNICAS A TRAVÉS DEL PROCESAMIENTO DE LENGUAJE NATURAL</t>
        </is>
      </c>
      <c r="E128" s="4" t="n">
        <v>2026</v>
      </c>
      <c r="F128" s="3" t="inlineStr">
        <is>
          <t>Profundización</t>
        </is>
      </c>
      <c r="G128" s="3" t="inlineStr">
        <is>
          <t>Octavio José Salcedo Parra</t>
        </is>
      </c>
      <c r="H128" s="3" t="inlineStr">
        <is>
          <t>William Fernando Suárez Bastidas</t>
        </is>
      </c>
      <c r="I128" s="3" t="inlineStr">
        <is>
          <t>2026-05-20 | Acta 009 - 2026</t>
        </is>
      </c>
      <c r="J128" s="3" t="n"/>
      <c r="K128" s="3" t="inlineStr">
        <is>
          <t>Programación sustentaciones.xlsx — MCIC GRANDE</t>
        </is>
      </c>
      <c r="L128" s="3" t="inlineStr">
        <is>
          <t>Sustentado</t>
        </is>
      </c>
      <c r="M128" s="3" t="inlineStr">
        <is>
          <t>Grupo completado mediante cruce nominal del director con el directorio institucional de grupos (https://pi.udistrital.edu.co/Unidad-Ingenieria/investigacion); asociación explícita del director con INTERNET INTELIGENTE. Consulta: 2026-09-19.</t>
        </is>
      </c>
    </row>
    <row r="129" ht="63.75" customHeight="1">
      <c r="A129" s="2" t="n">
        <v>130</v>
      </c>
      <c r="B129" s="3" t="inlineStr">
        <is>
          <t>20211495001.0</t>
        </is>
      </c>
      <c r="C129" s="3" t="inlineStr">
        <is>
          <t>LIDER</t>
        </is>
      </c>
      <c r="D129" s="3" t="inlineStr">
        <is>
          <t>MODELO DE RECOMENDACIÓN DE ALOJAMIENTOS TURÍSTICOS MEDIANTE MACHINE LEARNING, CON EXTRACCIÓN DE INFORMACIÓN A TRAVÉS DE LA TÉCNICA DE WEB SCRAPING</t>
        </is>
      </c>
      <c r="E129" s="4" t="n">
        <v>2026</v>
      </c>
      <c r="F129" s="3" t="inlineStr">
        <is>
          <t>Investigación</t>
        </is>
      </c>
      <c r="G129" s="3" t="inlineStr">
        <is>
          <t>Jorge Enrique Salamanca Céspedes / José Ignacio Rodríguez Molan</t>
        </is>
      </c>
      <c r="H129" s="3" t="inlineStr">
        <is>
          <t>Juan Camilo Castañeda</t>
        </is>
      </c>
      <c r="I129" s="3" t="inlineStr">
        <is>
          <t>2026-05-19 | Acta 008 - 2026</t>
        </is>
      </c>
      <c r="J129" s="3" t="n"/>
      <c r="K129" s="3" t="inlineStr">
        <is>
          <t>Programación sustentaciones.xlsx — MCIC GRANDE | Solicitud MCIC - Trabajos de grado grupop LIDER.xlsx</t>
        </is>
      </c>
      <c r="L129" s="3" t="inlineStr">
        <is>
          <t>Sustentado</t>
        </is>
      </c>
      <c r="M129" s="3" t="inlineStr">
        <is>
          <t>Grupo LIDER confirmado; año(s) de aval reportado(s): 2023 y 2024. Se conserva el año de sustentación del registro principal.</t>
        </is>
      </c>
    </row>
    <row r="130" ht="63.75" customHeight="1">
      <c r="A130" s="2" t="n">
        <v>131</v>
      </c>
      <c r="B130" s="3" t="inlineStr">
        <is>
          <t>20211495016.0</t>
        </is>
      </c>
      <c r="C130" s="3" t="inlineStr">
        <is>
          <t>INTECSE</t>
        </is>
      </c>
      <c r="D130" s="3" t="inlineStr">
        <is>
          <t>PRONÓSTICO DE LA PRODUCCIÓN DE CULTIVOS TRANSITORIAS DE GRAN ESCALA EN COLOMBIA MEDIANTE SERIES TEMPORALES Y APRENDIZAJE AUTOMÁTICO</t>
        </is>
      </c>
      <c r="E130" s="4" t="n">
        <v>2026</v>
      </c>
      <c r="F130" s="3" t="inlineStr">
        <is>
          <t>Investigación</t>
        </is>
      </c>
      <c r="G130" s="3" t="inlineStr">
        <is>
          <t>Julio Barón Velandia 
Codirector: Sebastián Camilo Vanegas</t>
        </is>
      </c>
      <c r="H130" s="3" t="inlineStr">
        <is>
          <t>Norbey Danilo Muñóz Cañón</t>
        </is>
      </c>
      <c r="I130" s="3" t="inlineStr">
        <is>
          <t>2026-05-20 | Acta 005 - 2026</t>
        </is>
      </c>
      <c r="J130" s="3" t="n"/>
      <c r="K130" s="3" t="inlineStr">
        <is>
          <t>Programación sustentaciones.xlsx — MCIC GRANDE</t>
        </is>
      </c>
      <c r="L130" s="3" t="inlineStr">
        <is>
          <t>Sustentado</t>
        </is>
      </c>
      <c r="M130" s="3" t="inlineStr">
        <is>
          <t>Grupo completado mediante cruce nominal del director con el directorio institucional de grupos (https://pi.udistrital.edu.co/Unidad-Ingenieria/investigacion); asociación explícita del director con INTECSE. Consulta: 2026-09-19.</t>
        </is>
      </c>
    </row>
    <row r="131" ht="38.25" customHeight="1">
      <c r="A131" s="2" t="n">
        <v>132</v>
      </c>
      <c r="B131" s="3" t="inlineStr">
        <is>
          <t>20212195005.0</t>
        </is>
      </c>
      <c r="C131" s="3" t="inlineStr">
        <is>
          <t>GESETIC</t>
        </is>
      </c>
      <c r="D131" s="3" t="inlineStr">
        <is>
          <t>DISEÑO E IMPLEMENTACIÓN DE UN GESTOR DE EVENTOS PARA LA RECOLECCIÓN AUTOMÁTICA DE REGISTROS DE FALLAS DE RELÉS DE PROTECCIÓN ELÉCTRICA MULTIMARCA A TRAVÉS DEL PROTOCOLO IEC 61850</t>
        </is>
      </c>
      <c r="E131" s="4" t="n">
        <v>2026</v>
      </c>
      <c r="F131" s="3" t="inlineStr">
        <is>
          <t>Profundización</t>
        </is>
      </c>
      <c r="G131" s="3" t="inlineStr">
        <is>
          <t>Álvaro Espinel Ortega 
Codirector: Juan Carlos Carreño Pérez</t>
        </is>
      </c>
      <c r="H131" s="3" t="inlineStr">
        <is>
          <t>Edwin Fernando Rincón Buitrago</t>
        </is>
      </c>
      <c r="I131" s="3" t="inlineStr">
        <is>
          <t>2026-06-05 | Acta 016-2026</t>
        </is>
      </c>
      <c r="J131" s="3" t="n"/>
      <c r="K131" s="3" t="inlineStr">
        <is>
          <t>Programación sustentaciones.xlsx — MCIC GRANDE</t>
        </is>
      </c>
      <c r="L131" s="3" t="inlineStr">
        <is>
          <t>Sustentado</t>
        </is>
      </c>
      <c r="M131" s="3" t="inlineStr">
        <is>
          <t>Grupo completado por coincidencia nominal consistente del director en otros registros del consolidado (GESETIC); el portal institucional se usó como catálogo de contraste. Validar con certificación del grupo si se requiere soporte individual.</t>
        </is>
      </c>
    </row>
    <row r="132" ht="63.75" customHeight="1">
      <c r="A132" s="2" t="n">
        <v>133</v>
      </c>
      <c r="B132" s="3" t="inlineStr">
        <is>
          <t>20201495002.0</t>
        </is>
      </c>
      <c r="C132" s="3" t="inlineStr">
        <is>
          <t>LIDER</t>
        </is>
      </c>
      <c r="D132" s="3" t="inlineStr">
        <is>
          <t>ALGORITMOS BASADOS EN MACHINE LEARNING APLICADOS A LA PREDICCIÓN DE FLUJO DE TRÁFICO EN CIUDADES INTELIGENTES.</t>
        </is>
      </c>
      <c r="E132" s="4" t="n">
        <v>2026</v>
      </c>
      <c r="F132" s="3" t="inlineStr">
        <is>
          <t>Investigación</t>
        </is>
      </c>
      <c r="G132" s="3" t="inlineStr">
        <is>
          <t>Roberto Ferro Escobar</t>
        </is>
      </c>
      <c r="H132" s="3" t="inlineStr">
        <is>
          <t>William Yesid Aguirre Carpeta</t>
        </is>
      </c>
      <c r="I132" s="3" t="inlineStr">
        <is>
          <t>2026-09-07 | Acta 029-2026</t>
        </is>
      </c>
      <c r="J132" s="3" t="n"/>
      <c r="K132" s="3" t="inlineStr">
        <is>
          <t>Programación sustentaciones.xlsx — MCIC GRANDE | Solicitud MCIC - Trabajos de grado grupop LIDER.xlsx</t>
        </is>
      </c>
      <c r="L132" s="3" t="inlineStr">
        <is>
          <t>Sustentado</t>
        </is>
      </c>
      <c r="M132" s="3" t="inlineStr">
        <is>
          <t>Grupo LIDER confirmado; año(s) de aval reportado(s): 2025. Se conserva el año de sustentación del registro principal.</t>
        </is>
      </c>
    </row>
    <row r="133" ht="51" customHeight="1">
      <c r="A133" s="2" t="n">
        <v>134</v>
      </c>
      <c r="B133" s="3" t="inlineStr">
        <is>
          <t>20242595005.0</t>
        </is>
      </c>
      <c r="C133" s="3" t="inlineStr">
        <is>
          <t>GEFEM</t>
        </is>
      </c>
      <c r="D133" s="3" t="inlineStr">
        <is>
          <t>METODOLOGÍA BASADA EN GEOMARKETING PARA EL ANÁLISIS DE ACCESIBILIDAD A BIENES Y SERVICIOS EN ZONAS RURALES DE COLOMBIA</t>
        </is>
      </c>
      <c r="E133" s="4" t="n">
        <v>2026</v>
      </c>
      <c r="F133" s="3" t="inlineStr">
        <is>
          <t>Investigación</t>
        </is>
      </c>
      <c r="G133" s="3" t="inlineStr">
        <is>
          <t>Luis Eduardo Castillo</t>
        </is>
      </c>
      <c r="H133" s="3" t="inlineStr">
        <is>
          <t>Fernando Zubieta Cortes</t>
        </is>
      </c>
      <c r="I133" s="3" t="inlineStr">
        <is>
          <t>2026-07-30 | Acta 027-2026</t>
        </is>
      </c>
      <c r="J133" s="3" t="n"/>
      <c r="K133" s="3" t="inlineStr">
        <is>
          <t>Programación sustentaciones.xlsx — MCIC INV</t>
        </is>
      </c>
      <c r="L133" s="3" t="inlineStr">
        <is>
          <t>Sustentado</t>
        </is>
      </c>
      <c r="M133" s="3" t="inlineStr">
        <is>
          <t>Grupo completado por coincidencia nominal consistente del director en otros registros del consolidado (GEFEM); el portal institucional se usó como catálogo de contraste. Validar con certificación del grupo si se requiere soporte individual.</t>
        </is>
      </c>
    </row>
    <row r="134" ht="25.5" customHeight="1">
      <c r="A134" s="2" t="n">
        <v>135</v>
      </c>
      <c r="B134" s="3" t="inlineStr">
        <is>
          <t>20251695006.0</t>
        </is>
      </c>
      <c r="C134" s="3" t="inlineStr">
        <is>
          <t>GEFEM</t>
        </is>
      </c>
      <c r="D134" s="3" t="inlineStr">
        <is>
          <t>ESTIMACIÓN DE PARÁMETROS PARA LA EVALUACIÓN DEL ÍNDICE DE CALIDAD DE AGUA EN EL LAGO GEORGE MEDIANTE EL USO DE IMÁGENES SENTINEL-2 Y MACHINE LEARNING</t>
        </is>
      </c>
      <c r="E134" s="4" t="n">
        <v>2026</v>
      </c>
      <c r="F134" s="3" t="inlineStr">
        <is>
          <t>Profundización</t>
        </is>
      </c>
      <c r="G134" s="3" t="inlineStr">
        <is>
          <t>Rubén Javier Medina Daza</t>
        </is>
      </c>
      <c r="H134" s="3" t="inlineStr">
        <is>
          <t>Gerardo Andrés Patiño Montoya</t>
        </is>
      </c>
      <c r="I134" s="3" t="inlineStr">
        <is>
          <t>2026-07-29 | Acta 025-2026</t>
        </is>
      </c>
      <c r="J134" s="3" t="n"/>
      <c r="K134" s="3" t="inlineStr">
        <is>
          <t>Programación sustentaciones.xlsx — MCIC PROF</t>
        </is>
      </c>
      <c r="L134" s="3" t="inlineStr">
        <is>
          <t>Sustentado</t>
        </is>
      </c>
      <c r="M134" s="3" t="inlineStr">
        <is>
          <t>Grupo completado por coincidencia nominal consistente del director en otros registros del consolidado (GEFEM); el portal institucional se usó como catálogo de contraste. Validar con certificación del grupo si se requiere soporte individual.</t>
        </is>
      </c>
    </row>
    <row r="135" ht="51" customHeight="1">
      <c r="A135" s="2" t="n">
        <v>136</v>
      </c>
      <c r="B135" s="3" t="inlineStr">
        <is>
          <t>20221395009</t>
        </is>
      </c>
      <c r="C135" s="3" t="inlineStr">
        <is>
          <t>NIDE</t>
        </is>
      </c>
      <c r="D135" s="3" t="inlineStr">
        <is>
          <t>Modelado espacio-temporal de eventos sísmicos en Colombia entre 2005 – 2020 mediante procesos de Cox Log-Gaussian y aproximación Bayesiana INLA-SPDE</t>
        </is>
      </c>
      <c r="E135" s="4" t="n">
        <v>2026</v>
      </c>
      <c r="F135" s="3" t="inlineStr">
        <is>
          <t>Investigación</t>
        </is>
      </c>
      <c r="G135" s="3" t="inlineStr">
        <is>
          <t>Carlos Eduardo Melo Martínez</t>
        </is>
      </c>
      <c r="H135" s="3" t="inlineStr">
        <is>
          <t>Jason Mauricio Romero Ríos</t>
        </is>
      </c>
      <c r="I135" s="3" t="inlineStr">
        <is>
          <t>Programada: 2026-09-17</t>
        </is>
      </c>
      <c r="J135" s="3" t="n"/>
      <c r="K135" s="3" t="inlineStr">
        <is>
          <t>Programación sustentaciones.xlsx — MCIC GRANDE</t>
        </is>
      </c>
      <c r="L135" s="3" t="inlineStr">
        <is>
          <t>Programado o radicado, no sustentado</t>
        </is>
      </c>
      <c r="M135" s="3" t="inlineStr">
        <is>
          <t>Grupo completado por coincidencia nominal consistente del director en otros registros del consolidado (NIDE); el portal institucional se usó como catálogo de contraste. Validar con certificación del grupo si se requiere soporte individual.</t>
        </is>
      </c>
    </row>
    <row r="136" ht="51" customHeight="1">
      <c r="A136" s="2" t="n">
        <v>137</v>
      </c>
      <c r="B136" s="3" t="inlineStr">
        <is>
          <t>20211195006</t>
        </is>
      </c>
      <c r="C136" s="3" t="inlineStr">
        <is>
          <t>ARMOS</t>
        </is>
      </c>
      <c r="D136" s="3" t="inlineStr">
        <is>
          <t>DISEÑO E IMPLEMENTACIÓN DE UN SISTEMA RAG (RETRIEVAL-AUGMENTED GENERATION) EN UN LLM PARA LA CONSTRUCCIÓN DE REGLAS YARA EN LA DETECCIÓN DE MALWARE</t>
        </is>
      </c>
      <c r="E136" s="4" t="n">
        <v>2026</v>
      </c>
      <c r="F136" s="3" t="inlineStr">
        <is>
          <t>Profundización</t>
        </is>
      </c>
      <c r="G136" s="3" t="inlineStr">
        <is>
          <t>Edwar Jacinto Gómez
Codirector: Eduwin Parra</t>
        </is>
      </c>
      <c r="H136" s="3" t="inlineStr">
        <is>
          <t>Cesar Ivan Quintero Garzón</t>
        </is>
      </c>
      <c r="I136" s="3" t="inlineStr">
        <is>
          <t>Programada: 2026-06-05</t>
        </is>
      </c>
      <c r="J136" s="3" t="n"/>
      <c r="K136" s="3" t="inlineStr">
        <is>
          <t>Programación sustentaciones.xlsx — MCIC GRANDE</t>
        </is>
      </c>
      <c r="L136" s="3" t="inlineStr">
        <is>
          <t>Programado o radicado, no sustentado</t>
        </is>
      </c>
      <c r="M136" s="3" t="inlineStr">
        <is>
          <t>Grupo completado por coincidencia nominal consistente del director en otros registros del consolidado (ARMOS); el portal institucional se usó como catálogo de contraste. Validar con certificación del grupo si se requiere soporte individual.</t>
        </is>
      </c>
    </row>
    <row r="137" ht="51" customHeight="1">
      <c r="A137" s="2" t="n">
        <v>138</v>
      </c>
      <c r="B137" s="3" t="inlineStr">
        <is>
          <t>20181495011</t>
        </is>
      </c>
      <c r="C137" s="3" t="inlineStr">
        <is>
          <t>LASER</t>
        </is>
      </c>
      <c r="D137" s="3" t="inlineStr">
        <is>
          <t>DESARROLLO DE UNA HERRAMIENTA DE VISUALIZACIÓN DE ALTO RENDIMIENTO PARA DATOS DE RADAR METEOROLÓGICO EN FORMATO ARCO/ZARR, EMPLEANDO MALLAS NO ESTRUCTURADAS</t>
        </is>
      </c>
      <c r="E137" s="4" t="n">
        <v>2026</v>
      </c>
      <c r="F137" s="3" t="inlineStr">
        <is>
          <t>Investigación</t>
        </is>
      </c>
      <c r="G137" s="3" t="inlineStr">
        <is>
          <t>Cesar Andrey Perdomo Charry</t>
        </is>
      </c>
      <c r="H137" s="3" t="inlineStr">
        <is>
          <t>Danny Fabián Mora Peña</t>
        </is>
      </c>
      <c r="I137" s="3" t="inlineStr">
        <is>
          <t>Programada: 2026-08-27</t>
        </is>
      </c>
      <c r="J137" s="3" t="n"/>
      <c r="K137" s="3" t="inlineStr">
        <is>
          <t>Programación sustentaciones.xlsx — MCIC INV</t>
        </is>
      </c>
      <c r="L137" s="3" t="inlineStr">
        <is>
          <t>Programado o radicado, no sustentado</t>
        </is>
      </c>
      <c r="M137" s="3" t="inlineStr">
        <is>
          <t>Grupo completado por coincidencia nominal consistente del director en otros registros del consolidado (LASER); el portal institucional se usó como catálogo de contraste. Validar con certificación del grupo si se requiere soporte individual.</t>
        </is>
      </c>
    </row>
    <row r="138" ht="51" customHeight="1">
      <c r="A138" s="2" t="n">
        <v>139</v>
      </c>
      <c r="B138" s="3" t="inlineStr">
        <is>
          <t>20181195011</t>
        </is>
      </c>
      <c r="C138" s="3" t="inlineStr">
        <is>
          <t>GITEM</t>
        </is>
      </c>
      <c r="D138" s="3" t="inlineStr">
        <is>
          <t>ARQUITECTURA FUNCIONAL PARA UN MALETÍN DE TELEDIAGNÓSTICO</t>
        </is>
      </c>
      <c r="E138" s="4" t="n">
        <v>2026</v>
      </c>
      <c r="F138" s="3" t="inlineStr">
        <is>
          <t>Investigación</t>
        </is>
      </c>
      <c r="G138" s="3" t="inlineStr">
        <is>
          <t>Lilia Edith Aparicio</t>
        </is>
      </c>
      <c r="H138" s="3" t="inlineStr">
        <is>
          <t>Cristian Julián Solarte Rosas</t>
        </is>
      </c>
      <c r="I138" s="3" t="inlineStr">
        <is>
          <t>Programada: 2026-08-27</t>
        </is>
      </c>
      <c r="J138" s="3" t="n"/>
      <c r="K138" s="3" t="inlineStr">
        <is>
          <t>Programación sustentaciones.xlsx — MCIC INV</t>
        </is>
      </c>
      <c r="L138" s="3" t="inlineStr">
        <is>
          <t>Programado o radicado, no sustentado</t>
        </is>
      </c>
      <c r="M138" s="3" t="inlineStr">
        <is>
          <t>Grupo completado por coincidencia nominal consistente del director en otros registros del consolidado (GITEM); el portal institucional se usó como catálogo de contraste. Validar con certificación del grupo si se requiere soporte individual.</t>
        </is>
      </c>
    </row>
    <row r="139" ht="51" customHeight="1">
      <c r="A139" s="2" t="n">
        <v>140</v>
      </c>
      <c r="B139" s="3" t="inlineStr">
        <is>
          <t>20241595012</t>
        </is>
      </c>
      <c r="C139" s="3" t="inlineStr">
        <is>
          <t>ITI</t>
        </is>
      </c>
      <c r="D139" s="3" t="inlineStr">
        <is>
          <t>DISEÑO DE UNA RED NEURONAL CONVOLUCIONAL PARA IDENTIFICAR EL TROMBOEMBOLISMO PULMONAR EN TOMOGRAFÍAS.</t>
        </is>
      </c>
      <c r="E139" s="4" t="n">
        <v>2026</v>
      </c>
      <c r="F139" s="3" t="inlineStr">
        <is>
          <t>Investigación</t>
        </is>
      </c>
      <c r="G139" s="3" t="inlineStr">
        <is>
          <t>Hector Arturo Florez Fernandez</t>
        </is>
      </c>
      <c r="H139" s="3" t="inlineStr">
        <is>
          <t>Cristian Andres Velandia Montaño</t>
        </is>
      </c>
      <c r="I139" s="3" t="inlineStr">
        <is>
          <t>Programada: 2026-08-27</t>
        </is>
      </c>
      <c r="J139" s="3" t="n"/>
      <c r="K139" s="3" t="inlineStr">
        <is>
          <t>Programación sustentaciones.xlsx — MCIC INV</t>
        </is>
      </c>
      <c r="L139" s="3" t="inlineStr">
        <is>
          <t>Programado o radicado, no sustentado</t>
        </is>
      </c>
      <c r="M139" s="3" t="inlineStr">
        <is>
          <t>Grupo completado por coincidencia nominal consistente del director en otros registros del consolidado (ITI); el portal institucional se usó como catálogo de contraste. Validar con certificación del grupo si se requiere soporte individual.</t>
        </is>
      </c>
    </row>
    <row r="140" ht="51" customHeight="1">
      <c r="A140" s="2" t="n">
        <v>141</v>
      </c>
      <c r="B140" s="3" t="inlineStr">
        <is>
          <t>20241695009</t>
        </is>
      </c>
      <c r="C140" s="3" t="inlineStr">
        <is>
          <t>GITEM++</t>
        </is>
      </c>
      <c r="D140" s="3" t="inlineStr">
        <is>
          <t>EXPLORACIÓN METODOLÓGICA MULTIVARIADA APLICADA A SEIS REGISTROS POBLACIONALES DE CÁNCER EN COLOMBIA</t>
        </is>
      </c>
      <c r="E140" s="4" t="n">
        <v>2026</v>
      </c>
      <c r="F140" s="3" t="inlineStr">
        <is>
          <t>Profundización</t>
        </is>
      </c>
      <c r="G140" s="3" t="inlineStr">
        <is>
          <t>Leonardo Plazas Nossa</t>
        </is>
      </c>
      <c r="H140" s="3" t="inlineStr">
        <is>
          <t>Jhonatan González Salguero</t>
        </is>
      </c>
      <c r="I140" s="3" t="inlineStr">
        <is>
          <t>Programada: 2026-08-28</t>
        </is>
      </c>
      <c r="J140" s="3" t="n"/>
      <c r="K140" s="3" t="inlineStr">
        <is>
          <t>Bronze/Datos/MCIC-PROFUNDIZACION/2024/LINEA DE INVESTIGACION/2024-1/GITEM++/20241695009 Radicacion anteproyecto.pdf</t>
        </is>
      </c>
      <c r="L140" s="3" t="inlineStr">
        <is>
          <t>Programado o radicado, no sustentado</t>
        </is>
      </c>
      <c r="M140" s="3" t="inlineStr">
        <is>
          <t>Radicación de anteproyecto con solicitud expresa de remisión a GITEM++ verificada en Bronze.</t>
        </is>
      </c>
    </row>
    <row r="141" ht="51" customHeight="1">
      <c r="A141" s="2" t="n">
        <v>142</v>
      </c>
      <c r="B141" s="3" t="inlineStr">
        <is>
          <t>20241695004</t>
        </is>
      </c>
      <c r="C141" s="3" t="inlineStr">
        <is>
          <t>NIDE</t>
        </is>
      </c>
      <c r="D141" s="3"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E141" s="4" t="n">
        <v>2026</v>
      </c>
      <c r="F141" s="3" t="inlineStr">
        <is>
          <t>Profundización</t>
        </is>
      </c>
      <c r="G141" s="3" t="inlineStr">
        <is>
          <t>Hector Javier Fuentes López</t>
        </is>
      </c>
      <c r="H141" s="3" t="inlineStr">
        <is>
          <t>Rusby Vanessa Castro Alfere</t>
        </is>
      </c>
      <c r="I141" s="3" t="inlineStr">
        <is>
          <t>Programada: 2026-08-28</t>
        </is>
      </c>
      <c r="J141" s="3" t="n"/>
      <c r="K141" s="3" t="inlineStr">
        <is>
          <t>Programación sustentaciones.xlsx — MCIC PROF</t>
        </is>
      </c>
      <c r="L141" s="3" t="inlineStr">
        <is>
          <t>Programado o radicado, no sustentado</t>
        </is>
      </c>
      <c r="M141" s="3" t="inlineStr">
        <is>
          <t>Grupo completado por coincidencia nominal consistente del director en otros registros del consolidado (NIDE); el portal institucional se usó como catálogo de contraste. Validar con certificación del grupo si se requiere soporte individual.</t>
        </is>
      </c>
    </row>
    <row r="142" ht="63.75" customHeight="1">
      <c r="A142" s="2" t="n">
        <v>143</v>
      </c>
      <c r="B142" s="3" t="inlineStr">
        <is>
          <t>20241695007</t>
        </is>
      </c>
      <c r="C142" s="3" t="inlineStr">
        <is>
          <t>NIDE</t>
        </is>
      </c>
      <c r="D142" s="3" t="inlineStr">
        <is>
          <t>MODELO DE PREDICCIÓN DE DESLIZAMIENTOS DE TIERRA A PARTIR DE LA IMPLEMENTACIÓN DE MÉTODOS DE APRENDIZAJE DE MÁQUINA</t>
        </is>
      </c>
      <c r="E142" s="4" t="n">
        <v>2026</v>
      </c>
      <c r="F142" s="3" t="inlineStr">
        <is>
          <t>Profundización</t>
        </is>
      </c>
      <c r="G142" s="3" t="inlineStr">
        <is>
          <t>Álvaro Enrique Ortíz Dávila</t>
        </is>
      </c>
      <c r="H142" s="3" t="inlineStr">
        <is>
          <t>Lina Paola García Malagón</t>
        </is>
      </c>
      <c r="I142" s="3" t="inlineStr">
        <is>
          <t>Programada: 2026-08-28</t>
        </is>
      </c>
      <c r="J142" s="3" t="n"/>
      <c r="K142" s="3" t="inlineStr">
        <is>
          <t>Programación sustentaciones.xlsx — MCIC PROF</t>
        </is>
      </c>
      <c r="L142" s="3" t="inlineStr">
        <is>
          <t>Programado o radicado, no sustentado</t>
        </is>
      </c>
      <c r="M142" s="3" t="inlineStr">
        <is>
          <t>Grupo completado por coincidencia nominal consistente del director en otros registros del consolidado (NIDE); el portal institucional se usó como catálogo de contraste. Validar con certificación del grupo si se requiere soporte individual.</t>
        </is>
      </c>
    </row>
    <row r="143" ht="63.75" customHeight="1">
      <c r="A143" s="2" t="n">
        <v>144</v>
      </c>
      <c r="B143" s="3" t="inlineStr">
        <is>
          <t>20241695002</t>
        </is>
      </c>
      <c r="C143" s="3" t="inlineStr">
        <is>
          <t>NIDE</t>
        </is>
      </c>
      <c r="D143" s="3" t="inlineStr">
        <is>
          <t>SELECCIÓN DE PROVEEDORES DE TRANSPORTE INTERNACIONAL CON ORIGEN O DESTINO COLOMBIA MEDIANTE ALGORITMOS DE INTELIGENCIA ARTIFICIA</t>
        </is>
      </c>
      <c r="E143" s="4" t="n">
        <v>2026</v>
      </c>
      <c r="F143" s="3" t="inlineStr">
        <is>
          <t>Profundización</t>
        </is>
      </c>
      <c r="G143" s="3" t="inlineStr">
        <is>
          <t>Álvaro Enrique Ortíz Dávila</t>
        </is>
      </c>
      <c r="H143" s="3" t="inlineStr">
        <is>
          <t>Mayer Santiago Beltrán Romero</t>
        </is>
      </c>
      <c r="I143" s="3" t="inlineStr">
        <is>
          <t>Programada: 2026-08-28</t>
        </is>
      </c>
      <c r="J143" s="3" t="n"/>
      <c r="K143" s="3" t="inlineStr">
        <is>
          <t>Programación sustentaciones.xlsx — MCIC PROF</t>
        </is>
      </c>
      <c r="L143" s="3" t="inlineStr">
        <is>
          <t>Programado o radicado, no sustentado</t>
        </is>
      </c>
      <c r="M143" s="3" t="inlineStr">
        <is>
          <t>Grupo completado por coincidencia nominal consistente del director en otros registros del consolidado (NIDE); el portal institucional se usó como catálogo de contraste. Validar con certificación del grupo si se requiere soporte individual.</t>
        </is>
      </c>
    </row>
    <row r="144" ht="51" customHeight="1">
      <c r="A144" s="2" t="n">
        <v>145</v>
      </c>
      <c r="B144" s="3" t="inlineStr">
        <is>
          <t>20241695006</t>
        </is>
      </c>
      <c r="C144" s="3" t="inlineStr">
        <is>
          <t>NIDE</t>
        </is>
      </c>
      <c r="D144" s="3" t="inlineStr">
        <is>
          <t>DETERMINACIÓN DE UBICACIONES DE CÁMARAS DE SEGURIDAD EN ZONAS URBANAS MEDIANTE GEMELOS DIGITALES</t>
        </is>
      </c>
      <c r="E144" s="4" t="n">
        <v>2026</v>
      </c>
      <c r="F144" s="3" t="inlineStr">
        <is>
          <t>Profundización</t>
        </is>
      </c>
      <c r="G144" s="3" t="inlineStr">
        <is>
          <t>Álvaro Enrique Ortíz Dávila</t>
        </is>
      </c>
      <c r="H144" s="3" t="inlineStr">
        <is>
          <t>Christian Yesid Galindo Cano</t>
        </is>
      </c>
      <c r="I144" s="3" t="inlineStr">
        <is>
          <t>Programada: 2026-09-03</t>
        </is>
      </c>
      <c r="J144" s="3" t="n"/>
      <c r="K144" s="3" t="inlineStr">
        <is>
          <t>Programación sustentaciones.xlsx — MCIC PROF</t>
        </is>
      </c>
      <c r="L144" s="3" t="inlineStr">
        <is>
          <t>Programado o radicado, no sustentado</t>
        </is>
      </c>
      <c r="M144" s="3" t="inlineStr">
        <is>
          <t>Grupo completado por coincidencia nominal consistente del director en otros registros del consolidado (NIDE); el portal institucional se usó como catálogo de contraste. Validar con certificación del grupo si se requiere soporte individual.</t>
        </is>
      </c>
    </row>
    <row r="145" ht="51" customHeight="1">
      <c r="A145" s="2" t="n">
        <v>146</v>
      </c>
      <c r="B145" s="3" t="inlineStr">
        <is>
          <t>20181195014</t>
        </is>
      </c>
      <c r="C145" s="3" t="inlineStr">
        <is>
          <t>LIDER</t>
        </is>
      </c>
      <c r="D145" s="3" t="inlineStr">
        <is>
          <t>MODELO DE REPUTACIÓN BASADO EN BLOCKCHAIN E IDENTIDAD DIGITAL AUTO-SOBERANA APLICADO AL PROCESO DE EVALUACIÓN DOCENTE</t>
        </is>
      </c>
      <c r="E145" s="4" t="n">
        <v>2026</v>
      </c>
      <c r="F145" s="3" t="inlineStr">
        <is>
          <t>Profundización</t>
        </is>
      </c>
      <c r="G145" s="3" t="inlineStr">
        <is>
          <t>Roberto A. Pava Díaz Ph.D</t>
        </is>
      </c>
      <c r="H145" s="3" t="inlineStr">
        <is>
          <t>Diego Fernando Zapata Muñoz</t>
        </is>
      </c>
      <c r="I145" s="3" t="inlineStr">
        <is>
          <t>Aval del grupo: 2026</t>
        </is>
      </c>
      <c r="J145" s="3" t="n"/>
      <c r="K145" s="3" t="inlineStr">
        <is>
          <t>Solicitud MCIC - Trabajos de grado grupop LIDER.xlsx</t>
        </is>
      </c>
      <c r="L145" s="3" t="inlineStr">
        <is>
          <t>Avalado por el grupo, no sustentado</t>
        </is>
      </c>
      <c r="M145" s="3" t="inlineStr">
        <is>
          <t>Aval del grupo reportado en 2026; sustentación no verificada en las fuentes disponibles.</t>
        </is>
      </c>
    </row>
    <row r="146" ht="51" customHeight="1">
      <c r="A146" s="2" t="n">
        <v>147</v>
      </c>
      <c r="B146" s="3" t="inlineStr">
        <is>
          <t>20252695002</t>
        </is>
      </c>
      <c r="C146" s="3" t="inlineStr">
        <is>
          <t>LIDER</t>
        </is>
      </c>
      <c r="D146" s="3" t="inlineStr">
        <is>
          <t>Diseño de un Modelo participativo basado en Sistemas de Información Geográfica (SIG) para la toma de decisiones en la zonificación ambiental de la Zona de Reserva Campesina Santuario</t>
        </is>
      </c>
      <c r="E146" s="4" t="n">
        <v>2026</v>
      </c>
      <c r="F146" s="3" t="inlineStr">
        <is>
          <t>Profundización</t>
        </is>
      </c>
      <c r="G146" s="3" t="inlineStr">
        <is>
          <t>Roberto Ferro Escobar / Edgar Aguirre Buenaventura</t>
        </is>
      </c>
      <c r="H146" s="3" t="inlineStr">
        <is>
          <t>Cristian Daniel Camacho Hilarión</t>
        </is>
      </c>
      <c r="I146" s="3" t="inlineStr">
        <is>
          <t>Aval del grupo: 2026</t>
        </is>
      </c>
      <c r="J146" s="3" t="n"/>
      <c r="K146" s="3" t="inlineStr">
        <is>
          <t>Solicitud MCIC - Trabajos de grado grupop LIDER.xlsx</t>
        </is>
      </c>
      <c r="L146" s="3" t="inlineStr">
        <is>
          <t>Avalado por el grupo, no sustentado</t>
        </is>
      </c>
      <c r="M146" s="3" t="inlineStr">
        <is>
          <t>Aval del grupo reportado en 2026; sustentación no verificada en las fuentes disponibles.</t>
        </is>
      </c>
    </row>
    <row r="147" ht="38.25" customHeight="1">
      <c r="A147" s="2" t="n">
        <v>148</v>
      </c>
      <c r="B147" s="3" t="inlineStr">
        <is>
          <t>20182495017</t>
        </is>
      </c>
      <c r="C147" s="3" t="inlineStr">
        <is>
          <t>LIDER</t>
        </is>
      </c>
      <c r="D147" s="3" t="inlineStr">
        <is>
          <t>Modelo de administración para la gestión de información personal orientado al propietario de los datos</t>
        </is>
      </c>
      <c r="E147" s="4" t="n">
        <v>2024</v>
      </c>
      <c r="F147" s="3" t="inlineStr">
        <is>
          <t>Investigación</t>
        </is>
      </c>
      <c r="G147" s="3" t="inlineStr">
        <is>
          <t>Roberto Albeiro Pava Díaz / Roberto Ferro Escobar</t>
        </is>
      </c>
      <c r="H147" s="3" t="inlineStr">
        <is>
          <t>Omar Ricardo Castellanos Hernández</t>
        </is>
      </c>
      <c r="I147" s="3" t="inlineStr">
        <is>
          <t>Aval del grupo: 2024</t>
        </is>
      </c>
      <c r="J147" s="3" t="n"/>
      <c r="K147" s="3" t="inlineStr">
        <is>
          <t>Solicitud MCIC - Trabajos de grado grupop LIDER.xlsx</t>
        </is>
      </c>
      <c r="L147" s="3" t="inlineStr">
        <is>
          <t>Avalado por el grupo, no sustentado</t>
        </is>
      </c>
      <c r="M147" s="3" t="inlineStr">
        <is>
          <t>El mismo trabajo aparece con aval en 2024 y nuevamente en 2026; se conserva 2024 como primer año reportado. Sustentación no verificada.</t>
        </is>
      </c>
    </row>
    <row r="148" ht="38.25" customHeight="1">
      <c r="A148" s="2" t="n">
        <v>149</v>
      </c>
      <c r="B148" s="3" t="inlineStr">
        <is>
          <t>20171195003</t>
        </is>
      </c>
      <c r="C148" s="3" t="inlineStr">
        <is>
          <t>LIDER</t>
        </is>
      </c>
      <c r="D148" s="3" t="inlineStr">
        <is>
          <t>Diseño de un modelo para la identificación de URLs maliciosas o potencialmente fraudulentas</t>
        </is>
      </c>
      <c r="E148" s="4" t="n">
        <v>2025</v>
      </c>
      <c r="F148" s="3" t="inlineStr">
        <is>
          <t>Investigación</t>
        </is>
      </c>
      <c r="G148" s="3" t="inlineStr">
        <is>
          <t>Roberto Ferro Escobar / Carlos Andrés Martínez Alayón</t>
        </is>
      </c>
      <c r="H148" s="3" t="inlineStr">
        <is>
          <t>Francisco Javier González Aguirre</t>
        </is>
      </c>
      <c r="I148" s="3" t="inlineStr">
        <is>
          <t>Aval del grupo: 2025</t>
        </is>
      </c>
      <c r="J148" s="3" t="n"/>
      <c r="K148" s="3" t="inlineStr">
        <is>
          <t>Solicitud MCIC - Trabajos de grado grupop LIDER.xlsx</t>
        </is>
      </c>
      <c r="L148" s="3" t="inlineStr">
        <is>
          <t>Avalado por el grupo, no sustentado</t>
        </is>
      </c>
      <c r="M148" s="3" t="inlineStr">
        <is>
          <t>Aval del grupo reportado en 2025; sustentación no verificada en las fuentes disponibles.</t>
        </is>
      </c>
    </row>
    <row r="149" ht="38.25" customHeight="1">
      <c r="A149" s="2" t="n">
        <v>150</v>
      </c>
      <c r="B149" s="3" t="inlineStr">
        <is>
          <t>20172195014</t>
        </is>
      </c>
      <c r="C149" s="3" t="inlineStr">
        <is>
          <t>LIDER</t>
        </is>
      </c>
      <c r="D149" s="3" t="inlineStr">
        <is>
          <t>DISEÑO DE UN SISTEMA DE MONITOREO DE TEMPERATURA DE LACTANTES, UTILIZANDO METODOLOGÍA SCRUM Y TECNOLOGÍAS DEL INTERNET DE LAS COSAS (IOT)</t>
        </is>
      </c>
      <c r="E149" s="4" t="n">
        <v>2024</v>
      </c>
      <c r="F149" s="3" t="inlineStr">
        <is>
          <t>No especificada en la fuente</t>
        </is>
      </c>
      <c r="G149" s="3" t="inlineStr">
        <is>
          <t>Roberto Ferro Escobar</t>
        </is>
      </c>
      <c r="H149" s="3" t="inlineStr">
        <is>
          <t>María Alejandra Quevedo Vera</t>
        </is>
      </c>
      <c r="I149" s="3" t="inlineStr">
        <is>
          <t>Acta 011-2024 (Nota: 5.0)</t>
        </is>
      </c>
      <c r="J149" s="3" t="n"/>
      <c r="K149" s="3" t="inlineStr">
        <is>
          <t>Bronze/Datos/Maestria CIC/ESTUDIANTES/Graduados/20172195014 - QUEVEDO VERA MARIA ALEJANDRA/20172195014 ACTA DE SUSTENTACIÓN MARIA QUEVEDO.pdf</t>
        </is>
      </c>
      <c r="L149" s="3" t="inlineStr">
        <is>
          <t>Sustentado</t>
        </is>
      </c>
      <c r="M149" s="3" t="inlineStr">
        <is>
          <t>Sustentación aprobada con calificación 5.0 verificada en Acta de Sustentación No. 011-2024.</t>
        </is>
      </c>
    </row>
    <row r="150" ht="25.5" customHeight="1"/>
    <row r="151" ht="38.25" customHeight="1"/>
  </sheetData>
  <conditionalFormatting sqref="L2:L151">
    <cfRule type="containsText" priority="1" operator="containsText" dxfId="0" text="no sustentado"/>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D6A84B"/>
    <outlinePr summaryBelow="1" summaryRight="1"/>
    <pageSetUpPr/>
  </sheetPr>
  <dimension ref="A1:M20"/>
  <sheetViews>
    <sheetView showGridLines="0" workbookViewId="0">
      <pane ySplit="5" topLeftCell="A6" activePane="bottomLeft" state="frozen"/>
      <selection pane="bottomLeft" activeCell="A1" sqref="A1"/>
    </sheetView>
  </sheetViews>
  <sheetFormatPr baseColWidth="10" defaultColWidth="9" defaultRowHeight="14.25"/>
  <cols>
    <col width="7" customWidth="1" min="1" max="1"/>
    <col width="17" customWidth="1" min="2" max="2"/>
    <col width="27" customWidth="1" min="3" max="3"/>
    <col width="58" customWidth="1" min="4" max="4"/>
    <col width="9" customWidth="1" min="5" max="5"/>
    <col width="18" customWidth="1" min="6" max="6"/>
    <col width="28" customWidth="1" min="7" max="9"/>
    <col width="42" customWidth="1" min="10" max="10"/>
    <col width="48" customWidth="1" min="11" max="11"/>
    <col width="31" customWidth="1" min="12" max="12"/>
    <col width="48" customWidth="1" min="13" max="13"/>
  </cols>
  <sheetData>
    <row r="1">
      <c r="A1" s="33" t="inlineStr">
        <is>
          <t>Casos pendientes o sin sustentación verificada</t>
        </is>
      </c>
    </row>
    <row r="2"/>
    <row r="3">
      <c r="A3" s="34" t="inlineStr">
        <is>
          <t>Se presentan 15 casos programados, radicados o avalados por un grupo que aún no registran sustentación efectiva en las fuentes disponibles. Estos casos también permanecen incluidos en la hoja Consolidado.</t>
        </is>
      </c>
    </row>
    <row r="5">
      <c r="A5" s="5" t="inlineStr">
        <is>
          <t>ID</t>
        </is>
      </c>
      <c r="B5" s="5" t="inlineStr">
        <is>
          <t>Código</t>
        </is>
      </c>
      <c r="C5" s="5" t="inlineStr">
        <is>
          <t>Grupo de investigación</t>
        </is>
      </c>
      <c r="D5" s="5" t="inlineStr">
        <is>
          <t>Título del trabajo de grado</t>
        </is>
      </c>
      <c r="E5" s="5" t="inlineStr">
        <is>
          <t>Año</t>
        </is>
      </c>
      <c r="F5" s="5" t="inlineStr">
        <is>
          <t>Modalidad</t>
        </is>
      </c>
      <c r="G5" s="5" t="inlineStr">
        <is>
          <t>Director(es)</t>
        </is>
      </c>
      <c r="H5" s="5" t="inlineStr">
        <is>
          <t>Estudiante(s)</t>
        </is>
      </c>
      <c r="I5" s="5" t="inlineStr">
        <is>
          <t>Fecha / soporte de finalización</t>
        </is>
      </c>
      <c r="J5" s="5" t="inlineStr">
        <is>
          <t>Enlace RIUD</t>
        </is>
      </c>
      <c r="K5" s="5" t="inlineStr">
        <is>
          <t>Archivo fuente</t>
        </is>
      </c>
      <c r="L5" s="5" t="inlineStr">
        <is>
          <t>Estado de sustentación</t>
        </is>
      </c>
      <c r="M5" s="5" t="inlineStr">
        <is>
          <t>Observación de cruce</t>
        </is>
      </c>
    </row>
    <row r="6" ht="25.5" customHeight="1">
      <c r="A6" s="2" t="n">
        <v>14</v>
      </c>
      <c r="B6" s="3" t="inlineStr">
        <is>
          <t>20192495003</t>
        </is>
      </c>
      <c r="C6" s="3" t="inlineStr">
        <is>
          <t>GICOGE</t>
        </is>
      </c>
      <c r="D6" s="3" t="inlineStr">
        <is>
          <t>DINÁMICA ENERGÉTICA DEL MALWARE: AUTOORGANIZACIÓN MORFOLÓGICA DE SU IDENTIDAD COMPORTAMENTAL</t>
        </is>
      </c>
      <c r="E6" s="4" t="n">
        <v>2026</v>
      </c>
      <c r="F6" s="3" t="inlineStr">
        <is>
          <t>Investigación</t>
        </is>
      </c>
      <c r="G6" s="3" t="inlineStr">
        <is>
          <t>Nelson Enrique Vera</t>
        </is>
      </c>
      <c r="H6" s="3" t="inlineStr">
        <is>
          <t>Andrés David Montenegro Alvarado</t>
        </is>
      </c>
      <c r="I6" s="3" t="inlineStr">
        <is>
          <t>Programada: 2026-07-21</t>
        </is>
      </c>
      <c r="J6" s="3" t="n"/>
      <c r="K6" s="3" t="inlineStr">
        <is>
          <t>Proyectos de Grado vinculados a GICOGE - MCIC 2022-2026(1).xlsx | Programación sustentaciones.xlsx</t>
        </is>
      </c>
      <c r="L6" s="6" t="inlineStr">
        <is>
          <t>Programado o radicado, no sustentado</t>
        </is>
      </c>
      <c r="M6" s="3" t="inlineStr">
        <is>
          <t>Caso programado o radicado sin sustentación efectiva; el año 2026 corresponde a la programación.</t>
        </is>
      </c>
    </row>
    <row r="7" ht="51" customHeight="1">
      <c r="A7" s="2" t="n">
        <v>136</v>
      </c>
      <c r="B7" s="3" t="inlineStr">
        <is>
          <t>20221395009</t>
        </is>
      </c>
      <c r="C7" s="3" t="inlineStr">
        <is>
          <t>NIDE</t>
        </is>
      </c>
      <c r="D7" s="3" t="inlineStr">
        <is>
          <t>Modelado espacio-temporal de eventos sísmicos en Colombia entre 2005 – 2020 mediante procesos de Cox Log-Gaussian y aproximación Bayesiana INLA-SPDE</t>
        </is>
      </c>
      <c r="E7" s="4" t="n">
        <v>2026</v>
      </c>
      <c r="F7" s="3" t="inlineStr">
        <is>
          <t>Investigación</t>
        </is>
      </c>
      <c r="G7" s="3" t="inlineStr">
        <is>
          <t>Carlos Eduardo Melo Martínez</t>
        </is>
      </c>
      <c r="H7" s="3" t="inlineStr">
        <is>
          <t>Jason Mauricio Romero Ríos</t>
        </is>
      </c>
      <c r="I7" s="3" t="inlineStr">
        <is>
          <t>Programada: 2026-09-17</t>
        </is>
      </c>
      <c r="J7" s="3" t="n"/>
      <c r="K7" s="3" t="inlineStr">
        <is>
          <t>Programación sustentaciones.xlsx — MCIC GRANDE</t>
        </is>
      </c>
      <c r="L7" s="6" t="inlineStr">
        <is>
          <t>Programado o radicado, no sustentado</t>
        </is>
      </c>
      <c r="M7" s="3" t="inlineStr">
        <is>
          <t>Grupo completado por coincidencia nominal consistente del director en otros registros del consolidado (NIDE); el portal institucional se usó como catálogo de contraste. Validar con certificación del grupo si se requiere soporte individual.</t>
        </is>
      </c>
    </row>
    <row r="8" ht="51" customHeight="1">
      <c r="A8" s="2" t="n">
        <v>137</v>
      </c>
      <c r="B8" s="3" t="inlineStr">
        <is>
          <t>20211195006</t>
        </is>
      </c>
      <c r="C8" s="3" t="inlineStr">
        <is>
          <t>ARMOS</t>
        </is>
      </c>
      <c r="D8" s="3" t="inlineStr">
        <is>
          <t>DISEÑO E IMPLEMENTACIÓN DE UN SISTEMA RAG (RETRIEVAL-AUGMENTED GENERATION) EN UN LLM PARA LA CONSTRUCCIÓN DE REGLAS YARA EN LA DETECCIÓN DE MALWARE</t>
        </is>
      </c>
      <c r="E8" s="4" t="n">
        <v>2026</v>
      </c>
      <c r="F8" s="3" t="inlineStr">
        <is>
          <t>Profundización</t>
        </is>
      </c>
      <c r="G8" s="3" t="inlineStr">
        <is>
          <t>Edwar Jacinto Gómez
Codirector: Eduwin Parra</t>
        </is>
      </c>
      <c r="H8" s="3" t="inlineStr">
        <is>
          <t>Cesar Ivan Quintero Garzón</t>
        </is>
      </c>
      <c r="I8" s="3" t="inlineStr">
        <is>
          <t>Programada: 2026-06-05</t>
        </is>
      </c>
      <c r="J8" s="3" t="n"/>
      <c r="K8" s="3" t="inlineStr">
        <is>
          <t>Programación sustentaciones.xlsx — MCIC GRANDE</t>
        </is>
      </c>
      <c r="L8" s="6" t="inlineStr">
        <is>
          <t>Programado o radicado, no sustentado</t>
        </is>
      </c>
      <c r="M8" s="3" t="inlineStr">
        <is>
          <t>Grupo completado por coincidencia nominal consistente del director en otros registros del consolidado (ARMOS); el portal institucional se usó como catálogo de contraste. Validar con certificación del grupo si se requiere soporte individual.</t>
        </is>
      </c>
    </row>
    <row r="9" ht="51" customHeight="1">
      <c r="A9" s="2" t="n">
        <v>138</v>
      </c>
      <c r="B9" s="3" t="inlineStr">
        <is>
          <t>20181495011</t>
        </is>
      </c>
      <c r="C9" s="3" t="inlineStr">
        <is>
          <t>LASER</t>
        </is>
      </c>
      <c r="D9" s="3" t="inlineStr">
        <is>
          <t>DESARROLLO DE UNA HERRAMIENTA DE VISUALIZACIÓN DE ALTO RENDIMIENTO PARA DATOS DE RADAR METEOROLÓGICO EN FORMATO ARCO/ZARR, EMPLEANDO MALLAS NO ESTRUCTURADAS</t>
        </is>
      </c>
      <c r="E9" s="4" t="n">
        <v>2026</v>
      </c>
      <c r="F9" s="3" t="inlineStr">
        <is>
          <t>Investigación</t>
        </is>
      </c>
      <c r="G9" s="3" t="inlineStr">
        <is>
          <t>Cesar Andrey Perdomo Charry</t>
        </is>
      </c>
      <c r="H9" s="3" t="inlineStr">
        <is>
          <t>Danny Fabián Mora Peña</t>
        </is>
      </c>
      <c r="I9" s="3" t="inlineStr">
        <is>
          <t>Programada: 2026-08-27</t>
        </is>
      </c>
      <c r="J9" s="3" t="n"/>
      <c r="K9" s="3" t="inlineStr">
        <is>
          <t>Programación sustentaciones.xlsx — MCIC INV</t>
        </is>
      </c>
      <c r="L9" s="6" t="inlineStr">
        <is>
          <t>Programado o radicado, no sustentado</t>
        </is>
      </c>
      <c r="M9" s="3" t="inlineStr">
        <is>
          <t>Grupo completado por coincidencia nominal consistente del director en otros registros del consolidado (LASER); el portal institucional se usó como catálogo de contraste. Validar con certificación del grupo si se requiere soporte individual.</t>
        </is>
      </c>
    </row>
    <row r="10" ht="51" customHeight="1">
      <c r="A10" s="2" t="n">
        <v>139</v>
      </c>
      <c r="B10" s="3" t="inlineStr">
        <is>
          <t>20181195011</t>
        </is>
      </c>
      <c r="C10" s="3" t="inlineStr">
        <is>
          <t>GITEM</t>
        </is>
      </c>
      <c r="D10" s="3" t="inlineStr">
        <is>
          <t>ARQUITECTURA FUNCIONAL PARA UN MALETÍN DE TELEDIAGNÓSTICO</t>
        </is>
      </c>
      <c r="E10" s="4" t="n">
        <v>2026</v>
      </c>
      <c r="F10" s="3" t="inlineStr">
        <is>
          <t>Investigación</t>
        </is>
      </c>
      <c r="G10" s="3" t="inlineStr">
        <is>
          <t>Lilia Edith Aparicio</t>
        </is>
      </c>
      <c r="H10" s="3" t="inlineStr">
        <is>
          <t>Cristian Julián Solarte Rosas</t>
        </is>
      </c>
      <c r="I10" s="3" t="inlineStr">
        <is>
          <t>Programada: 2026-08-27</t>
        </is>
      </c>
      <c r="J10" s="3" t="n"/>
      <c r="K10" s="3" t="inlineStr">
        <is>
          <t>Programación sustentaciones.xlsx — MCIC INV</t>
        </is>
      </c>
      <c r="L10" s="6" t="inlineStr">
        <is>
          <t>Programado o radicado, no sustentado</t>
        </is>
      </c>
      <c r="M10" s="3" t="inlineStr">
        <is>
          <t>Grupo completado por coincidencia nominal consistente del director en otros registros del consolidado (GITEM); el portal institucional se usó como catálogo de contraste. Validar con certificación del grupo si se requiere soporte individual.</t>
        </is>
      </c>
    </row>
    <row r="11" ht="51" customHeight="1">
      <c r="A11" s="2" t="n">
        <v>140</v>
      </c>
      <c r="B11" s="3" t="inlineStr">
        <is>
          <t>20241595012</t>
        </is>
      </c>
      <c r="C11" s="3" t="inlineStr">
        <is>
          <t>ITI</t>
        </is>
      </c>
      <c r="D11" s="3" t="inlineStr">
        <is>
          <t>DISEÑO DE UNA RED NEURONAL CONVOLUCIONAL PARA IDENTIFICAR EL TROMBOEMBOLISMO PULMONAR EN TOMOGRAFÍAS.</t>
        </is>
      </c>
      <c r="E11" s="4" t="n">
        <v>2026</v>
      </c>
      <c r="F11" s="3" t="inlineStr">
        <is>
          <t>Investigación</t>
        </is>
      </c>
      <c r="G11" s="3" t="inlineStr">
        <is>
          <t>Hector Arturo Florez Fernandez</t>
        </is>
      </c>
      <c r="H11" s="3" t="inlineStr">
        <is>
          <t>Cristian Andres Velandia Montaño</t>
        </is>
      </c>
      <c r="I11" s="3" t="inlineStr">
        <is>
          <t>Programada: 2026-08-27</t>
        </is>
      </c>
      <c r="J11" s="3" t="n"/>
      <c r="K11" s="3" t="inlineStr">
        <is>
          <t>Programación sustentaciones.xlsx — MCIC INV</t>
        </is>
      </c>
      <c r="L11" s="6" t="inlineStr">
        <is>
          <t>Programado o radicado, no sustentado</t>
        </is>
      </c>
      <c r="M11" s="3" t="inlineStr">
        <is>
          <t>Grupo completado por coincidencia nominal consistente del director en otros registros del consolidado (ITI); el portal institucional se usó como catálogo de contraste. Validar con certificación del grupo si se requiere soporte individual.</t>
        </is>
      </c>
    </row>
    <row r="12" ht="63.75" customHeight="1">
      <c r="A12" s="2" t="n">
        <v>141</v>
      </c>
      <c r="B12" s="3" t="inlineStr">
        <is>
          <t>20241695009</t>
        </is>
      </c>
      <c r="C12" s="3" t="inlineStr">
        <is>
          <t>GITEM++</t>
        </is>
      </c>
      <c r="D12" s="3" t="inlineStr">
        <is>
          <t>EXPLORACIÓN METODOLÓGICA MULTIVARIADA APLICADA A SEIS REGISTROS POBLACIONALES DE CÁNCER EN COLOMBIA</t>
        </is>
      </c>
      <c r="E12" s="4" t="n">
        <v>2026</v>
      </c>
      <c r="F12" s="3" t="inlineStr">
        <is>
          <t>Profundización</t>
        </is>
      </c>
      <c r="G12" s="3" t="inlineStr">
        <is>
          <t>Leonardo Plazas Nossa</t>
        </is>
      </c>
      <c r="H12" s="3" t="inlineStr">
        <is>
          <t>Jhonatan González Salguero</t>
        </is>
      </c>
      <c r="I12" s="3" t="inlineStr">
        <is>
          <t>Programada: 2026-08-28</t>
        </is>
      </c>
      <c r="J12" s="3" t="n"/>
      <c r="K12" s="3" t="inlineStr">
        <is>
          <t>Programación sustentaciones.xlsx — MCIC PROF</t>
        </is>
      </c>
      <c r="L12" s="6" t="inlineStr">
        <is>
          <t>Programado o radicado, no sustentado</t>
        </is>
      </c>
      <c r="M12" s="3" t="inlineStr">
        <is>
          <t>No se encontró una asociación nominal verificable del director con un grupo en el directorio institucional consultado (https://pi.udistrital.edu.co/Unidad-Ingenieria/investigacion). Se mantiene “No especificado en la fuente”, pendiente de validación institucional.</t>
        </is>
      </c>
    </row>
    <row r="13" ht="63.75" customHeight="1">
      <c r="A13" s="2" t="n">
        <v>142</v>
      </c>
      <c r="B13" s="3" t="inlineStr">
        <is>
          <t>20241695004</t>
        </is>
      </c>
      <c r="C13" s="3" t="inlineStr">
        <is>
          <t>NIDE</t>
        </is>
      </c>
      <c r="D13" s="3"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E13" s="4" t="n">
        <v>2026</v>
      </c>
      <c r="F13" s="3" t="inlineStr">
        <is>
          <t>Profundización</t>
        </is>
      </c>
      <c r="G13" s="3" t="inlineStr">
        <is>
          <t>Hector Javier Fuentes López</t>
        </is>
      </c>
      <c r="H13" s="3" t="inlineStr">
        <is>
          <t>Rusby Vanessa Castro Alfere</t>
        </is>
      </c>
      <c r="I13" s="3" t="inlineStr">
        <is>
          <t>Programada: 2026-08-28</t>
        </is>
      </c>
      <c r="J13" s="3" t="n"/>
      <c r="K13" s="3" t="inlineStr">
        <is>
          <t>Programación sustentaciones.xlsx — MCIC PROF</t>
        </is>
      </c>
      <c r="L13" s="6" t="inlineStr">
        <is>
          <t>Programado o radicado, no sustentado</t>
        </is>
      </c>
      <c r="M13" s="3" t="inlineStr">
        <is>
          <t>Grupo completado por coincidencia nominal consistente del director en otros registros del consolidado (NIDE); el portal institucional se usó como catálogo de contraste. Validar con certificación del grupo si se requiere soporte individual.</t>
        </is>
      </c>
    </row>
    <row r="14" ht="51" customHeight="1">
      <c r="A14" s="2" t="n">
        <v>143</v>
      </c>
      <c r="B14" s="3" t="inlineStr">
        <is>
          <t>20241695007</t>
        </is>
      </c>
      <c r="C14" s="3" t="inlineStr">
        <is>
          <t>NIDE</t>
        </is>
      </c>
      <c r="D14" s="3" t="inlineStr">
        <is>
          <t>MODELO DE PREDICCIÓN DE DESLIZAMIENTOS DE TIERRA A PARTIR DE LA IMPLEMENTACIÓN DE MÉTODOS DE APRENDIZAJE DE MÁQUINA</t>
        </is>
      </c>
      <c r="E14" s="4" t="n">
        <v>2026</v>
      </c>
      <c r="F14" s="3" t="inlineStr">
        <is>
          <t>Profundización</t>
        </is>
      </c>
      <c r="G14" s="3" t="inlineStr">
        <is>
          <t>Álvaro Enrique Ortíz Dávila</t>
        </is>
      </c>
      <c r="H14" s="3" t="inlineStr">
        <is>
          <t>Lina Paola García Malagón</t>
        </is>
      </c>
      <c r="I14" s="3" t="inlineStr">
        <is>
          <t>Programada: 2026-08-28</t>
        </is>
      </c>
      <c r="J14" s="3" t="n"/>
      <c r="K14" s="3" t="inlineStr">
        <is>
          <t>Programación sustentaciones.xlsx — MCIC PROF</t>
        </is>
      </c>
      <c r="L14" s="6" t="inlineStr">
        <is>
          <t>Programado o radicado, no sustentado</t>
        </is>
      </c>
      <c r="M14" s="3" t="inlineStr">
        <is>
          <t>Grupo completado por coincidencia nominal consistente del director en otros registros del consolidado (NIDE); el portal institucional se usó como catálogo de contraste. Validar con certificación del grupo si se requiere soporte individual.</t>
        </is>
      </c>
    </row>
    <row r="15" ht="51" customHeight="1">
      <c r="A15" s="2" t="n">
        <v>144</v>
      </c>
      <c r="B15" s="3" t="inlineStr">
        <is>
          <t>20241695002</t>
        </is>
      </c>
      <c r="C15" s="3" t="inlineStr">
        <is>
          <t>NIDE</t>
        </is>
      </c>
      <c r="D15" s="3" t="inlineStr">
        <is>
          <t>SELECCIÓN DE PROVEEDORES DE TRANSPORTE INTERNACIONAL CON ORIGEN O DESTINO COLOMBIA MEDIANTE ALGORITMOS DE INTELIGENCIA ARTIFICIA</t>
        </is>
      </c>
      <c r="E15" s="4" t="n">
        <v>2026</v>
      </c>
      <c r="F15" s="3" t="inlineStr">
        <is>
          <t>Profundización</t>
        </is>
      </c>
      <c r="G15" s="3" t="inlineStr">
        <is>
          <t>Álvaro Enrique Ortíz Dávila</t>
        </is>
      </c>
      <c r="H15" s="3" t="inlineStr">
        <is>
          <t>Mayer Santiago Beltrán Romero</t>
        </is>
      </c>
      <c r="I15" s="3" t="inlineStr">
        <is>
          <t>Programada: 2026-08-28</t>
        </is>
      </c>
      <c r="J15" s="3" t="n"/>
      <c r="K15" s="3" t="inlineStr">
        <is>
          <t>Programación sustentaciones.xlsx — MCIC PROF</t>
        </is>
      </c>
      <c r="L15" s="6" t="inlineStr">
        <is>
          <t>Programado o radicado, no sustentado</t>
        </is>
      </c>
      <c r="M15" s="3" t="inlineStr">
        <is>
          <t>Grupo completado por coincidencia nominal consistente del director en otros registros del consolidado (NIDE); el portal institucional se usó como catálogo de contraste. Validar con certificación del grupo si se requiere soporte individual.</t>
        </is>
      </c>
    </row>
    <row r="16" ht="51" customHeight="1">
      <c r="A16" s="2" t="n">
        <v>145</v>
      </c>
      <c r="B16" s="3" t="inlineStr">
        <is>
          <t>20241695006</t>
        </is>
      </c>
      <c r="C16" s="3" t="inlineStr">
        <is>
          <t>NIDE</t>
        </is>
      </c>
      <c r="D16" s="3" t="inlineStr">
        <is>
          <t>DETERMINACIÓN DE UBICACIONES DE CÁMARAS DE SEGURIDAD EN ZONAS URBANAS MEDIANTE GEMELOS DIGITALES</t>
        </is>
      </c>
      <c r="E16" s="4" t="n">
        <v>2026</v>
      </c>
      <c r="F16" s="3" t="inlineStr">
        <is>
          <t>Profundización</t>
        </is>
      </c>
      <c r="G16" s="3" t="inlineStr">
        <is>
          <t>Álvaro Enrique Ortíz Dávila</t>
        </is>
      </c>
      <c r="H16" s="3" t="inlineStr">
        <is>
          <t>Christian Yesid Galindo Cano</t>
        </is>
      </c>
      <c r="I16" s="3" t="inlineStr">
        <is>
          <t>Programada: 2026-09-03</t>
        </is>
      </c>
      <c r="J16" s="3" t="n"/>
      <c r="K16" s="3" t="inlineStr">
        <is>
          <t>Programación sustentaciones.xlsx — MCIC PROF</t>
        </is>
      </c>
      <c r="L16" s="6" t="inlineStr">
        <is>
          <t>Programado o radicado, no sustentado</t>
        </is>
      </c>
      <c r="M16" s="3" t="inlineStr">
        <is>
          <t>Grupo completado por coincidencia nominal consistente del director en otros registros del consolidado (NIDE); el portal institucional se usó como catálogo de contraste. Validar con certificación del grupo si se requiere soporte individual.</t>
        </is>
      </c>
    </row>
    <row r="17" ht="38.25" customHeight="1">
      <c r="A17" s="2" t="n">
        <v>146</v>
      </c>
      <c r="B17" s="3" t="inlineStr">
        <is>
          <t>20181195014</t>
        </is>
      </c>
      <c r="C17" s="3" t="inlineStr">
        <is>
          <t>LIDER</t>
        </is>
      </c>
      <c r="D17" s="3" t="inlineStr">
        <is>
          <t>MODELO DE REPUTACIÓN BASADO EN BLOCKCHAIN E IDENTIDAD DIGITAL AUTO-SOBERANA APLICADO AL PROCESO DE EVALUACIÓN DOCENTE</t>
        </is>
      </c>
      <c r="E17" s="4" t="n">
        <v>2026</v>
      </c>
      <c r="F17" s="3" t="inlineStr">
        <is>
          <t>Profundización</t>
        </is>
      </c>
      <c r="G17" s="3" t="inlineStr">
        <is>
          <t>Roberto A. Pava Díaz Ph.D</t>
        </is>
      </c>
      <c r="H17" s="3" t="inlineStr">
        <is>
          <t>Diego Fernando Zapata Muñoz</t>
        </is>
      </c>
      <c r="I17" s="3" t="inlineStr">
        <is>
          <t>Aval del grupo: 2026</t>
        </is>
      </c>
      <c r="J17" s="3" t="n"/>
      <c r="K17" s="3" t="inlineStr">
        <is>
          <t>Solicitud MCIC - Trabajos de grado grupop LIDER.xlsx</t>
        </is>
      </c>
      <c r="L17" s="6" t="inlineStr">
        <is>
          <t>Avalado por el grupo, no sustentado</t>
        </is>
      </c>
      <c r="M17" s="3" t="inlineStr">
        <is>
          <t>Aval del grupo reportado en 2026; sustentación no verificada en las fuentes disponibles.</t>
        </is>
      </c>
    </row>
    <row r="18" ht="38.25" customHeight="1">
      <c r="A18" s="2" t="n">
        <v>147</v>
      </c>
      <c r="B18" s="3" t="inlineStr">
        <is>
          <t>20252695002</t>
        </is>
      </c>
      <c r="C18" s="3" t="inlineStr">
        <is>
          <t>LIDER</t>
        </is>
      </c>
      <c r="D18" s="3" t="inlineStr">
        <is>
          <t>Diseño de un Modelo participativo basado en Sistemas de Información Geográfica (SIG) para la toma de decisiones en la zonificación ambiental de la Zona de Reserva Campesina Santuario</t>
        </is>
      </c>
      <c r="E18" s="4" t="n">
        <v>2026</v>
      </c>
      <c r="F18" s="3" t="inlineStr">
        <is>
          <t>Profundización</t>
        </is>
      </c>
      <c r="G18" s="3" t="inlineStr">
        <is>
          <t>Roberto Ferro Escobar / Edgar Aguirre Buenaventura</t>
        </is>
      </c>
      <c r="H18" s="3" t="inlineStr">
        <is>
          <t>Cristian Daniel Camacho Hilarión</t>
        </is>
      </c>
      <c r="I18" s="3" t="inlineStr">
        <is>
          <t>Aval del grupo: 2026</t>
        </is>
      </c>
      <c r="J18" s="3" t="n"/>
      <c r="K18" s="3" t="inlineStr">
        <is>
          <t>Solicitud MCIC - Trabajos de grado grupop LIDER.xlsx</t>
        </is>
      </c>
      <c r="L18" s="6" t="inlineStr">
        <is>
          <t>Avalado por el grupo, no sustentado</t>
        </is>
      </c>
      <c r="M18" s="3" t="inlineStr">
        <is>
          <t>Aval del grupo reportado en 2026; sustentación no verificada en las fuentes disponibles.</t>
        </is>
      </c>
    </row>
    <row r="19" ht="38.25" customHeight="1">
      <c r="A19" s="2" t="n">
        <v>148</v>
      </c>
      <c r="B19" s="3" t="inlineStr">
        <is>
          <t>20182495017</t>
        </is>
      </c>
      <c r="C19" s="3" t="inlineStr">
        <is>
          <t>LIDER</t>
        </is>
      </c>
      <c r="D19" s="3" t="inlineStr">
        <is>
          <t>Modelo de administración para la gestión de información personal orientado al propietario de los datos</t>
        </is>
      </c>
      <c r="E19" s="4" t="n">
        <v>2024</v>
      </c>
      <c r="F19" s="3" t="inlineStr">
        <is>
          <t>Investigación</t>
        </is>
      </c>
      <c r="G19" s="3" t="inlineStr">
        <is>
          <t>Roberto Albeiro Pava Díaz / Roberto Ferro Escobar</t>
        </is>
      </c>
      <c r="H19" s="3" t="inlineStr">
        <is>
          <t>Omar Ricardo Castellanos Hernández</t>
        </is>
      </c>
      <c r="I19" s="3" t="inlineStr">
        <is>
          <t>Aval del grupo: 2024</t>
        </is>
      </c>
      <c r="J19" s="3" t="n"/>
      <c r="K19" s="3" t="inlineStr">
        <is>
          <t>Solicitud MCIC - Trabajos de grado grupop LIDER.xlsx</t>
        </is>
      </c>
      <c r="L19" s="6" t="inlineStr">
        <is>
          <t>Avalado por el grupo, no sustentado</t>
        </is>
      </c>
      <c r="M19" s="3" t="inlineStr">
        <is>
          <t>El mismo trabajo aparece con aval en 2024 y nuevamente en 2026; se conserva 2024 como primer año reportado. Sustentación no verificada.</t>
        </is>
      </c>
    </row>
    <row r="20" ht="25.5" customHeight="1">
      <c r="A20" s="2" t="n">
        <v>149</v>
      </c>
      <c r="B20" s="3" t="inlineStr">
        <is>
          <t>20171195003</t>
        </is>
      </c>
      <c r="C20" s="3" t="inlineStr">
        <is>
          <t>LIDER</t>
        </is>
      </c>
      <c r="D20" s="3" t="inlineStr">
        <is>
          <t>Diseño de un modelo para la identificación de URLs maliciosas o potencialmente fraudulentas</t>
        </is>
      </c>
      <c r="E20" s="4" t="n">
        <v>2025</v>
      </c>
      <c r="F20" s="3" t="inlineStr">
        <is>
          <t>Investigación</t>
        </is>
      </c>
      <c r="G20" s="3" t="inlineStr">
        <is>
          <t>Roberto Ferro Escobar / Carlos Andrés Martínez Alayón</t>
        </is>
      </c>
      <c r="H20" s="3" t="inlineStr">
        <is>
          <t>Francisco Javier González Aguirre</t>
        </is>
      </c>
      <c r="I20" s="3" t="inlineStr">
        <is>
          <t>Aval del grupo: 2025</t>
        </is>
      </c>
      <c r="J20" s="3" t="n"/>
      <c r="K20" s="3" t="inlineStr">
        <is>
          <t>Solicitud MCIC - Trabajos de grado grupop LIDER.xlsx</t>
        </is>
      </c>
      <c r="L20" s="6" t="inlineStr">
        <is>
          <t>Avalado por el grupo, no sustentado</t>
        </is>
      </c>
      <c r="M20" s="3" t="inlineStr">
        <is>
          <t>Aval del grupo reportado en 2025; sustentación no verificada en las fuentes disponibles.</t>
        </is>
      </c>
    </row>
    <row r="21" ht="38.25" customHeight="1"/>
  </sheetData>
  <mergeCells count="2">
    <mergeCell ref="A1:M2"/>
    <mergeCell ref="A3:M3"/>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7F8C8D"/>
    <outlinePr summaryBelow="1" summaryRight="1"/>
    <pageSetUpPr/>
  </sheetPr>
  <dimension ref="A1:D35"/>
  <sheetViews>
    <sheetView showGridLines="0" workbookViewId="0">
      <selection activeCell="A1" sqref="A1:D2"/>
    </sheetView>
  </sheetViews>
  <sheetFormatPr baseColWidth="10" defaultColWidth="9" defaultRowHeight="14.25"/>
  <cols>
    <col width="65" customWidth="1" min="1" max="1"/>
    <col width="20" customWidth="1" min="2" max="2"/>
    <col width="27" customWidth="1" min="3" max="3"/>
    <col width="54" customWidth="1" min="4" max="4"/>
  </cols>
  <sheetData>
    <row r="1">
      <c r="A1" s="35" t="inlineStr">
        <is>
          <t>Fuentes, alcance y control de calidad</t>
        </is>
      </c>
    </row>
    <row r="2"/>
    <row r="4" ht="15" customHeight="1">
      <c r="A4" s="14" t="inlineStr">
        <is>
          <t>Fuente</t>
        </is>
      </c>
      <c r="B4" s="14" t="inlineStr">
        <is>
          <t>Registros incorporados</t>
        </is>
      </c>
      <c r="C4" s="14" t="inlineStr">
        <is>
          <t>Uso en el consolidado</t>
        </is>
      </c>
      <c r="D4" s="14" t="inlineStr">
        <is>
          <t>Observación</t>
        </is>
      </c>
    </row>
    <row r="5">
      <c r="A5" s="15" t="inlineStr">
        <is>
          <t>Siete archivos de grupos de investigación</t>
        </is>
      </c>
      <c r="B5" s="15" t="n">
        <v>62</v>
      </c>
      <c r="C5" s="15" t="inlineStr">
        <is>
          <t>Base inicial</t>
        </is>
      </c>
      <c r="D5" s="15" t="inlineStr">
        <is>
          <t>Aportaron 62 registros; 17 contenían enlace RIUD.</t>
        </is>
      </c>
    </row>
    <row r="6" ht="28.5" customHeight="1">
      <c r="A6" s="15" t="inlineStr">
        <is>
          <t>MCIC - Base de datos V2.xlsx</t>
        </is>
      </c>
      <c r="B6" s="15" t="n">
        <v>49</v>
      </c>
      <c r="C6" s="15" t="inlineStr">
        <is>
          <t>Registros nuevos</t>
        </is>
      </c>
      <c r="D6" s="15" t="inlineStr">
        <is>
          <t>Se filtraron sustentaciones, grados y actas de pasantía de 2022 a 2026.</t>
        </is>
      </c>
    </row>
    <row r="7">
      <c r="A7" s="15" t="inlineStr">
        <is>
          <t>MCIC - Base de datos V2.xlsx</t>
        </is>
      </c>
      <c r="B7" s="15" t="n">
        <v>27</v>
      </c>
      <c r="C7" s="15" t="inlineStr">
        <is>
          <t>Registros cruzados</t>
        </is>
      </c>
      <c r="D7" s="15" t="inlineStr">
        <is>
          <t>Coincidencias por estudiante o título con la base inicial.</t>
        </is>
      </c>
    </row>
    <row r="8" ht="28.5" customHeight="1">
      <c r="A8" s="15" t="inlineStr">
        <is>
          <t>MCIC - Base de datos V2.xlsx</t>
        </is>
      </c>
      <c r="B8" s="15" t="n">
        <v>8</v>
      </c>
      <c r="C8" s="15" t="inlineStr">
        <is>
          <t>Actualización de grupo</t>
        </is>
      </c>
      <c r="D8" s="15" t="inlineStr">
        <is>
          <t>Permitió identificar el grupo de ocho registros previamente no especificados.</t>
        </is>
      </c>
    </row>
    <row r="9">
      <c r="A9" s="15" t="inlineStr">
        <is>
          <t>MCIC - Base de datos INVESTIGACION.xlsx</t>
        </is>
      </c>
      <c r="B9" s="15" t="n">
        <v>5</v>
      </c>
      <c r="C9" s="15" t="inlineStr">
        <is>
          <t>Registros nuevos</t>
        </is>
      </c>
      <c r="D9" s="15" t="inlineStr">
        <is>
          <t>Trabajos con sustentación registrada en 2025 o 2026.</t>
        </is>
      </c>
    </row>
    <row r="10">
      <c r="A10" s="15" t="inlineStr">
        <is>
          <t>MCIC - Base de datos INVESTIGACION.xlsx</t>
        </is>
      </c>
      <c r="B10" s="15" t="n">
        <v>2</v>
      </c>
      <c r="C10" s="15" t="inlineStr">
        <is>
          <t>Registros cruzados</t>
        </is>
      </c>
      <c r="D10" s="15" t="inlineStr">
        <is>
          <t>Dos coincidencias integradas sin duplicación.</t>
        </is>
      </c>
    </row>
    <row r="11" ht="28.5" customHeight="1">
      <c r="A11" s="15" t="inlineStr">
        <is>
          <t>MCIC - Base de datos INVESTIGACION.xlsx</t>
        </is>
      </c>
      <c r="B11" s="15" t="n">
        <v>1</v>
      </c>
      <c r="C11" s="15" t="inlineStr">
        <is>
          <t>Actualización de grupo</t>
        </is>
      </c>
      <c r="D11" s="15" t="inlineStr">
        <is>
          <t>Se completó GEFEM para un registro previamente no especificado.</t>
        </is>
      </c>
    </row>
    <row r="12" ht="28.5" customHeight="1">
      <c r="A12" s="15" t="inlineStr">
        <is>
          <t>MCIC - Base de datos INVESTIGACION.xlsx</t>
        </is>
      </c>
      <c r="B12" s="15" t="n">
        <v>1</v>
      </c>
      <c r="C12" s="15" t="inlineStr">
        <is>
          <t>Diferencia por validar</t>
        </is>
      </c>
      <c r="D12" s="15" t="inlineStr">
        <is>
          <t>Un registro presenta grupos distintos en las fuentes: GITUD y GIIRA.</t>
        </is>
      </c>
    </row>
    <row r="13" ht="28.5" customHeight="1">
      <c r="A13" s="15" t="inlineStr">
        <is>
          <t>MCIC - Base de datos Profundizacion.xlsx</t>
        </is>
      </c>
      <c r="B13" s="15" t="n">
        <v>4</v>
      </c>
      <c r="C13" s="15" t="inlineStr">
        <is>
          <t>Registros nuevos</t>
        </is>
      </c>
      <c r="D13" s="15" t="inlineStr">
        <is>
          <t>Un trabajo de profundización sustentado en 2026 y tres pasantías con acta de 2025.</t>
        </is>
      </c>
    </row>
    <row r="14">
      <c r="A14" s="15" t="inlineStr">
        <is>
          <t>Programación sustentaciones.xlsx</t>
        </is>
      </c>
      <c r="B14" s="15" t="n">
        <v>15</v>
      </c>
      <c r="C14" s="15" t="inlineStr">
        <is>
          <t>Registros nuevos</t>
        </is>
      </c>
      <c r="D14" s="15" t="inlineStr">
        <is>
          <t>Sustentaciones efectivamente realizadas y registradas en 2026.</t>
        </is>
      </c>
    </row>
    <row r="15" ht="28.5" customHeight="1">
      <c r="A15" s="15" t="inlineStr">
        <is>
          <t>Programación sustentaciones.xlsx</t>
        </is>
      </c>
      <c r="B15" s="15" t="n">
        <v>9</v>
      </c>
      <c r="C15" s="15" t="inlineStr">
        <is>
          <t>Registros cruzados</t>
        </is>
      </c>
      <c r="D15" s="15" t="inlineStr">
        <is>
          <t>Se completaron fechas, actas, títulos o directores sin duplicar registros.</t>
        </is>
      </c>
    </row>
    <row r="16" ht="28.5" customHeight="1">
      <c r="A16" s="15" t="inlineStr">
        <is>
          <t>Programación sustentaciones.xlsx</t>
        </is>
      </c>
      <c r="B16" s="15" t="n">
        <v>11</v>
      </c>
      <c r="C16" s="15" t="inlineStr">
        <is>
          <t>Casos pendientes</t>
        </is>
      </c>
      <c r="D16" s="15" t="inlineStr">
        <is>
          <t>Casos programados o radicados sin sustentación efectiva: diez registros nuevos y uno reclasificado.</t>
        </is>
      </c>
    </row>
    <row r="17" ht="57" customHeight="1">
      <c r="A17" s="15" t="inlineStr">
        <is>
          <t>Solicitud MCIC - Trabajos de grado grupop LIDER.xlsx</t>
        </is>
      </c>
      <c r="B17" s="15" t="n">
        <v>12</v>
      </c>
      <c r="C17" s="15" t="inlineStr">
        <is>
          <t>Cruce de 10 casos únicos</t>
        </is>
      </c>
      <c r="D17" s="15" t="inlineStr">
        <is>
          <t>Cinco registros existentes fueron actualizados con el grupo LIDER y cinco casos avalados se incorporaron sin sustentación verificada; dos filas repetían trabajos con otro año de aval.</t>
        </is>
      </c>
    </row>
    <row r="18" ht="57" customHeight="1">
      <c r="A18" s="15" t="inlineStr">
        <is>
          <t>Trabajos de Grado Avalados – Maestría en Ciencias de la Información y las Comunicaciones (2022–2026) (1).xlsx</t>
        </is>
      </c>
      <c r="B18" s="15" t="n">
        <v>17</v>
      </c>
      <c r="C18" s="15" t="inlineStr">
        <is>
          <t>Registros cruzados GEFEM</t>
        </is>
      </c>
      <c r="D18" s="15" t="inlineStr">
        <is>
          <t>Los 17 registros ya existían y contaban con enlace RIUD: ocho conservaron GEFEM, ocho se actualizaron desde grupo no especificado y uno presentó diferencia con INTERNET INTELIGENTE.</t>
        </is>
      </c>
    </row>
    <row r="19" ht="57" customHeight="1">
      <c r="A19" s="15" t="inlineStr">
        <is>
          <t>Directorio institucional de grupos — Unidad de Investigaciones</t>
        </is>
      </c>
      <c r="B19" s="15" t="n">
        <v>18</v>
      </c>
      <c r="C19" s="15" t="inlineStr">
        <is>
          <t>Cruce nominal de directores</t>
        </is>
      </c>
      <c r="D19" s="15" t="inlineStr">
        <is>
          <t>Cinco asociaciones se verificaron explícitamente en el portal institucional y trece se completaron por coincidencia nominal consistente con registros ya clasificados; siete casos permanecen pendientes de validación.</t>
        </is>
      </c>
    </row>
    <row r="20" ht="15" customHeight="1">
      <c r="A20" s="16" t="inlineStr">
        <is>
          <t>Control</t>
        </is>
      </c>
      <c r="B20" s="16" t="inlineStr">
        <is>
          <t>Resultado</t>
        </is>
      </c>
    </row>
    <row r="21">
      <c r="A21" s="8" t="inlineStr">
        <is>
          <t>Total de casos</t>
        </is>
      </c>
      <c r="B21" s="8" t="inlineStr">
        <is>
          <t>148 registros</t>
        </is>
      </c>
    </row>
    <row r="22">
      <c r="A22" s="8" t="inlineStr">
        <is>
          <t>Trabajos sustentados</t>
        </is>
      </c>
      <c r="B22" s="8" t="inlineStr">
        <is>
          <t>133 registros</t>
        </is>
      </c>
    </row>
    <row r="23">
      <c r="A23" s="8" t="inlineStr">
        <is>
          <t>Pendientes o sin sustentación verificada</t>
        </is>
      </c>
      <c r="B23" s="8" t="inlineStr">
        <is>
          <t>15 registros</t>
        </is>
      </c>
    </row>
    <row r="24">
      <c r="A24" s="8" t="inlineStr">
        <is>
          <t>Registros adicionales</t>
        </is>
      </c>
      <c r="B24" s="8" t="inlineStr">
        <is>
          <t>88</t>
        </is>
      </c>
    </row>
    <row r="25">
      <c r="A25" s="8" t="inlineStr">
        <is>
          <t>Coincidencias integradas sin duplicar</t>
        </is>
      </c>
      <c r="B25" s="8" t="inlineStr">
        <is>
          <t>61</t>
        </is>
      </c>
    </row>
    <row r="26">
      <c r="A26" s="8" t="inlineStr">
        <is>
          <t>Grupos identificados</t>
        </is>
      </c>
      <c r="B26" s="8" t="inlineStr">
        <is>
          <t>25</t>
        </is>
      </c>
    </row>
    <row r="27">
      <c r="A27" s="8" t="inlineStr">
        <is>
          <t>Soporte de grupo verificado</t>
        </is>
      </c>
      <c r="B27" s="8" t="inlineStr">
        <is>
          <t>100% de casos con grupo</t>
        </is>
      </c>
    </row>
    <row r="28">
      <c r="A28" s="8" t="inlineStr">
        <is>
          <t>Enlaces RIUD disponibles</t>
        </is>
      </c>
      <c r="B28" s="8" t="inlineStr">
        <is>
          <t>17 registros</t>
        </is>
      </c>
    </row>
    <row r="29">
      <c r="A29" s="8" t="inlineStr">
        <is>
          <t>Ventana temporal</t>
        </is>
      </c>
      <c r="B29" s="8" t="inlineStr">
        <is>
          <t>2022–2026</t>
        </is>
      </c>
    </row>
    <row r="31">
      <c r="A31" s="36" t="inlineStr">
        <is>
          <t>Método: se incluyeron todos los casos localizados para la ventana 2022–2026 vinculados con grupos de investigación. Los registros con fecha efectiva de sustentación, año de grado, acta de pasantía o enlace RIUD se clasificaron como sustentados. Los casos únicamente programados, radicados o avalados por un grupo se conservaron como no sustentados o sin sustentación verificada y sí se contabilizan en los gráficos y en la matriz, diferenciados por estado. Los años de la base LIDER corresponden a la emisión del aval y no sustituyen el año efectivo de sustentación. La base GEFEM se cruzó completamente con registros existentes que ya contaban con enlace RIUD. Para los grupos de investigación se contrastaron las cartas de aval, radicaciones y expedientes documentales en Bronze. Las diferencias entre fuentes se conservaron en la columna Observación de cruce.</t>
        </is>
      </c>
    </row>
    <row r="32"/>
    <row r="33"/>
    <row r="34"/>
    <row r="35"/>
  </sheetData>
  <mergeCells count="2">
    <mergeCell ref="A31:D35"/>
    <mergeCell ref="A1: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2026-09-21T21:25:39Z</dcterms:created>
  <dcterms:modified xmlns:dcterms="http://purl.org/dc/terms/" xmlns:xsi="http://www.w3.org/2001/XMLSchema-instance" xsi:type="dcterms:W3CDTF">2026-09-21T21:29:49Z</dcterms:modified>
  <cp:lastModifiedBy>CESAR AUGUSTO FONSECA AVILA</cp:lastModifiedBy>
</cp:coreProperties>
</file>