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ocentes" sheetId="2" state="visible" r:id="rId2"/>
    <sheet xmlns:r="http://schemas.openxmlformats.org/officeDocument/2006/relationships" name="Proyectos x URELINTER" sheetId="3" state="visible" r:id="rId3"/>
    <sheet xmlns:r="http://schemas.openxmlformats.org/officeDocument/2006/relationships" name="Detalle" sheetId="4" state="visible" r:id="rId4"/>
    <sheet xmlns:r="http://schemas.openxmlformats.org/officeDocument/2006/relationships" name="Convenios relacionados" sheetId="5" state="visible" r:id="rId5"/>
  </sheets>
  <definedNames>
    <definedName name="_xlnm._FilterDatabase" localSheetId="1" hidden="1">'Docentes'!$A$1:$M$21</definedName>
    <definedName name="_xlnm._FilterDatabase" localSheetId="2" hidden="1">'Proyectos x URELINTER'!$A$1:$M$15</definedName>
    <definedName name="_xlnm._FilterDatabase" localSheetId="3" hidden="1">'Detalle'!$A$1:$H$31</definedName>
    <definedName name="_xlnm._FilterDatabase" localSheetId="4" hidden="1">'Convenios relacionados'!$A$1:$K$2</definedName>
  </definedNames>
  <calcPr calcId="124519" fullCalcOnLoad="1"/>
</workbook>
</file>

<file path=xl/styles.xml><?xml version="1.0" encoding="utf-8"?>
<styleSheet xmlns="http://schemas.openxmlformats.org/spreadsheetml/2006/main">
  <numFmts count="3">
    <numFmt numFmtId="164" formatCode="yyyy-mm-dd"/>
    <numFmt numFmtId="165" formatCode="yyyy-mm-dd h:mm:ss"/>
    <numFmt numFmtId="166" formatCode="0.0%"/>
  </numFmts>
  <fonts count="7">
    <font>
      <name val="Calibri"/>
      <family val="2"/>
      <color theme="1"/>
      <sz val="11"/>
      <scheme val="minor"/>
    </font>
    <font>
      <name val="Arial"/>
      <b val="1"/>
      <color rgb="00FFFFFF"/>
    </font>
    <font>
      <name val="Arial"/>
      <sz val="10"/>
    </font>
    <font>
      <name val="Arial"/>
      <b val="1"/>
      <color rgb="001F4E78"/>
      <sz val="14"/>
    </font>
    <font>
      <name val="Arial"/>
      <i val="1"/>
      <color rgb="00595959"/>
      <sz val="9"/>
    </font>
    <font>
      <name val="Arial"/>
      <b val="1"/>
    </font>
    <font>
      <name val="Arial"/>
      <b val="1"/>
      <color rgb="001F4E78"/>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2" borderId="0" pivotButton="0" quotePrefix="0" xfId="0"/>
    <xf numFmtId="0" fontId="2" fillId="0" borderId="1" pivotButton="0" quotePrefix="0" xfId="0"/>
    <xf numFmtId="0" fontId="5" fillId="0" borderId="1" applyAlignment="1" pivotButton="0" quotePrefix="0" xfId="0">
      <alignment horizontal="center"/>
    </xf>
    <xf numFmtId="166" fontId="5" fillId="0" borderId="1" applyAlignment="1" pivotButton="0" quotePrefix="0" xfId="0">
      <alignment horizontal="center"/>
    </xf>
    <xf numFmtId="0" fontId="6" fillId="0" borderId="0" pivotButton="0" quotePrefix="0" xfId="0"/>
    <xf numFmtId="0" fontId="2"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2" fillId="0" borderId="1" applyAlignment="1" pivotButton="0" quotePrefix="0" xfId="0">
      <alignment horizontal="center" vertical="top"/>
    </xf>
    <xf numFmtId="164" fontId="2" fillId="0" borderId="1" applyAlignment="1" pivotButton="0" quotePrefix="0" xfId="0">
      <alignment horizontal="center" vertical="top"/>
    </xf>
    <xf numFmtId="164" fontId="2" fillId="0" borderId="1"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95" customWidth="1" min="1" max="1"/>
    <col width="14" customWidth="1" min="2" max="2"/>
  </cols>
  <sheetData>
    <row r="1">
      <c r="A1" s="1" t="inlineStr">
        <is>
          <t>Cruce: Docentes del Doctorado × Profesores MCIC × Convenios URELINTER</t>
        </is>
      </c>
    </row>
    <row r="2">
      <c r="A2" s="2" t="inlineStr">
        <is>
          <t>Generado 2026-09-23 a partir de Docentes_Doctorado.xlsx (Hoja1) y de las fuentes en Data/Bronze listadas abajo.</t>
        </is>
      </c>
    </row>
    <row r="4">
      <c r="A4" s="3" t="inlineStr">
        <is>
          <t>Docentes</t>
        </is>
      </c>
      <c r="B4" s="4" t="n"/>
    </row>
    <row r="5">
      <c r="A5" s="5" t="inlineStr">
        <is>
          <t>Docentes distintos en Docentes_Doctorado.xlsx</t>
        </is>
      </c>
      <c r="B5" s="6">
        <f>COUNTA(Docentes!A2:A21)</f>
        <v/>
      </c>
    </row>
    <row r="6">
      <c r="A6" s="5" t="inlineStr">
        <is>
          <t>…que son profesores de la MCIC</t>
        </is>
      </c>
      <c r="B6" s="6">
        <f>COUNTIF(Docentes!E2:E21,"Sí")</f>
        <v/>
      </c>
    </row>
    <row r="7">
      <c r="A7" s="5" t="inlineStr">
        <is>
          <t>…que NO aparecen en la MCIC</t>
        </is>
      </c>
      <c r="B7" s="6">
        <f>COUNTIF(Docentes!E2:E21,"No")</f>
        <v/>
      </c>
    </row>
    <row r="8">
      <c r="A8" s="5" t="inlineStr">
        <is>
          <t>% de docentes del doctorado que son profesores MCIC</t>
        </is>
      </c>
      <c r="B8" s="7">
        <f>IFERROR(B6/B5,0)</f>
        <v/>
      </c>
    </row>
    <row r="9">
      <c r="A9" s="5" t="inlineStr">
        <is>
          <t>…de ellos, docentes de planta MCIC</t>
        </is>
      </c>
      <c r="B9" s="6">
        <f>COUNTIF(Docentes!I2:I21,"Sí*")</f>
        <v/>
      </c>
    </row>
    <row r="10">
      <c r="A10" s="5" t="inlineStr">
        <is>
          <t>…con coincidencia de confianza media (revisar)</t>
        </is>
      </c>
      <c r="B10" s="6">
        <f>COUNTIF(Docentes!F2:F21,"Media*")</f>
        <v/>
      </c>
    </row>
    <row r="11">
      <c r="A11" s="3" t="inlineStr">
        <is>
          <t>Proyectos</t>
        </is>
      </c>
      <c r="B11" s="4" t="n"/>
    </row>
    <row r="12">
      <c r="A12" s="5" t="inlineStr">
        <is>
          <t>Proyectos / contratos en Docentes_Doctorado.xlsx</t>
        </is>
      </c>
      <c r="B12" s="6">
        <f>COUNTA('Proyectos x URELINTER'!A2:A15)</f>
        <v/>
      </c>
    </row>
    <row r="13">
      <c r="A13" s="5" t="inlineStr">
        <is>
          <t>…con al menos un profesor MCIC</t>
        </is>
      </c>
      <c r="B13" s="6">
        <f>COUNTIF('Proyectos x URELINTER'!G2:G15,"&gt;0")</f>
        <v/>
      </c>
    </row>
    <row r="14">
      <c r="A14" s="5" t="inlineStr">
        <is>
          <t>…con entidad que tiene convenio en URELINTER</t>
        </is>
      </c>
      <c r="B14" s="6">
        <f>COUNTIF('Proyectos x URELINTER'!H2:H15,"Con convenio")</f>
        <v/>
      </c>
    </row>
    <row r="15">
      <c r="A15" s="5" t="inlineStr">
        <is>
          <t>…con convenio relacionado (mismo sector / entidad matriz)</t>
        </is>
      </c>
      <c r="B15" s="6">
        <f>COUNTIF('Proyectos x URELINTER'!H2:H15,"Relacionado (sector)")</f>
        <v/>
      </c>
    </row>
    <row r="16">
      <c r="A16" s="5" t="inlineStr">
        <is>
          <t>…sin convenio en URELINTER</t>
        </is>
      </c>
      <c r="B16" s="6">
        <f>COUNTIF('Proyectos x URELINTER'!H2:H15,"Sin convenio")</f>
        <v/>
      </c>
    </row>
    <row r="17">
      <c r="A17" s="5" t="inlineStr">
        <is>
          <t>…internos UD (no requieren convenio)</t>
        </is>
      </c>
      <c r="B17" s="6">
        <f>COUNTIF('Proyectos x URELINTER'!H2:H15,"No aplica")</f>
        <v/>
      </c>
    </row>
    <row r="18">
      <c r="A18" s="5" t="inlineStr">
        <is>
          <t>Participaciones docente–proyecto</t>
        </is>
      </c>
      <c r="B18" s="6">
        <f>COUNTA(Detalle!A2:A31)</f>
        <v/>
      </c>
    </row>
    <row r="19">
      <c r="A19" s="5" t="inlineStr">
        <is>
          <t>…de profesores MCIC</t>
        </is>
      </c>
      <c r="B19" s="6">
        <f>COUNTIF(Detalle!G2:G31,"Sí")</f>
        <v/>
      </c>
    </row>
    <row r="21">
      <c r="A21" s="8" t="inlineStr">
        <is>
          <t>Hallazgos</t>
        </is>
      </c>
    </row>
    <row r="22" ht="45" customHeight="1">
      <c r="A22" s="9" t="inlineStr">
        <is>
          <t>• Ninguna de las entidades contratantes de los proyectos doctorales (UPME, RAPE, ATENEA, AGN, Secretaría Distrital de Hacienda, MEN, Gobernaciones de Sucre y La Guajira, Cundinamarca) tiene un convenio a su nombre en el listado vigente de URELINTER.</t>
        </is>
      </c>
    </row>
    <row r="23" ht="45" customHeight="1">
      <c r="A23" s="9" t="inlineStr">
        <is>
          <t>• Lo único cercano es el Convenio Marco C-2023-39 con el Ministerio de Minas y Energía (vigente hasta 2026-11-26), del cual depende la UPME (proyecto P01).</t>
        </is>
      </c>
    </row>
    <row r="24" ht="45" customHeight="1">
      <c r="A24" s="9" t="inlineStr">
        <is>
          <t>• Esto es esperable: los proyectos del doctorado son contratos y convenios interadministrativos de extensión (muchos ya terminados), mientras que URELINTER solo lista convenios de cooperación vigentes. La falta de coincidencia no quiere decir que los proyectos no tuvieran un respaldo contractual.</t>
        </is>
      </c>
    </row>
    <row r="25" ht="45" customHeight="1">
      <c r="A25" s="9" t="inlineStr">
        <is>
          <t>• Javier Arturo Orjuela Castro y Feizar Arturo Rueda no aparecen en ninguna base de la MCIC. Se buscaron en todos los .xlsx de Data/Bronze.</t>
        </is>
      </c>
    </row>
    <row r="27">
      <c r="A27" s="8" t="inlineStr">
        <is>
          <t>Fuentes y método</t>
        </is>
      </c>
    </row>
    <row r="28" ht="48" customHeight="1">
      <c r="A28" s="9" t="inlineStr">
        <is>
          <t>• Docentes del doctorado: Docentes_Doctorado.xlsx (Hoja1). Se separó la columna "Participación de la Comunidad Doctoral" por saltos de línea. Se unificaron dos variantes de escritura: EDUYIN→EDUYN y LINSAY→LINDSAY.</t>
        </is>
      </c>
    </row>
    <row r="29" ht="48" customHeight="1">
      <c r="A29" s="9" t="inlineStr">
        <is>
          <t>• Profesores MCIC (directores/revisores/jurados): Data/Bronze/PII_Interno/Docentes_Estudiantes_Egresados_Activos- Docentes.xlsx (hojas Consolidado y Fuentes, Vínculo = Profesor; 214 profesores de las bases MCIC Profundización, Investigación y Grande).</t>
        </is>
      </c>
    </row>
    <row r="30" ht="48" customHeight="1">
      <c r="A30" s="9" t="inlineStr">
        <is>
          <t>• Docentes de planta MCIC: Data/Bronze/MCIC.INVESTIGACION/Procesos de Renocavion y acreditación/Plan de Mejoramiento/FACTOR 3. PROFESORES/a. Informes de participación de los docentes/Participcion docente.xlsx (hoja info 1).</t>
        </is>
      </c>
    </row>
    <row r="31" ht="48" customHeight="1">
      <c r="A31" s="9" t="inlineStr">
        <is>
          <t>• Grupos de investigación MCIC: Data/Bronze/Maestria CIC/Directorio Grupos de Inv MCIC.xlsx (líder e integrantes de cada hoja).</t>
        </is>
      </c>
    </row>
    <row r="32" ht="48" customHeight="1">
      <c r="A32" s="9" t="inlineStr">
        <is>
          <t>• Convenios: Data/Bronze/Convenios/Convenios vigentes URELINTER.xlsx (hoja Convenios URELINTER, 388 convenios vigentes publicados por URELINTER).</t>
        </is>
      </c>
    </row>
    <row r="33" ht="48" customHeight="1">
      <c r="A33" s="9" t="inlineStr">
        <is>
          <t>• Cruce de nombres: se quitaron tildes y conectores (de, del, la…). Hay coincidencia cuando TODAS las palabras del nombre más corto están en el más largo (mínimo 2), aceptando pequeñas diferencias de escritura (similitud ≥ 85 %). Confianza "Alta" = 3 o más palabras coinciden. "Media" = solo 2 (nombre abreviado en la base MCIC); esas conviene confirmarlas.</t>
        </is>
      </c>
    </row>
    <row r="34" ht="48" customHeight="1">
      <c r="A34" s="9" t="inlineStr">
        <is>
          <t>• Cruce de entidades: cada entidad contratante se buscó por palabras clave en la institución, el objeto y el código de los 388 convenios, y cada resultado se revisó a mano (ver columna "Observación del cruce").</t>
        </is>
      </c>
    </row>
  </sheetData>
  <mergeCells count="11">
    <mergeCell ref="A24:B24"/>
    <mergeCell ref="A30:B30"/>
    <mergeCell ref="A29:B29"/>
    <mergeCell ref="A25:B25"/>
    <mergeCell ref="A33:B33"/>
    <mergeCell ref="A28:B28"/>
    <mergeCell ref="A32:B32"/>
    <mergeCell ref="A23:B23"/>
    <mergeCell ref="A31:B31"/>
    <mergeCell ref="A22:B22"/>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1" customWidth="1" min="3" max="3"/>
    <col width="22" customWidth="1" min="4" max="4"/>
    <col width="12" customWidth="1" min="5" max="5"/>
    <col width="20" customWidth="1" min="6" max="6"/>
    <col width="32" customWidth="1" min="7" max="7"/>
    <col width="40" customWidth="1" min="8" max="8"/>
    <col width="30" customWidth="1" min="9" max="9"/>
    <col width="45" customWidth="1" min="10" max="10"/>
    <col width="30" customWidth="1" min="11" max="11"/>
    <col width="20" customWidth="1" min="12" max="12"/>
    <col width="60" customWidth="1" min="13" max="13"/>
  </cols>
  <sheetData>
    <row r="1">
      <c r="A1" s="10" t="inlineStr">
        <is>
          <t>Docente (Docentes_Doctorado)</t>
        </is>
      </c>
      <c r="B1" s="10" t="inlineStr">
        <is>
          <t>Como aparece en la fuente</t>
        </is>
      </c>
      <c r="C1" s="10" t="inlineStr">
        <is>
          <t>N° proyectos</t>
        </is>
      </c>
      <c r="D1" s="10" t="inlineStr">
        <is>
          <t>Proyectos (ID)</t>
        </is>
      </c>
      <c r="E1" s="10" t="inlineStr">
        <is>
          <t>¿Profesor MCIC?</t>
        </is>
      </c>
      <c r="F1" s="10" t="inlineStr">
        <is>
          <t>Confianza del cruce</t>
        </is>
      </c>
      <c r="G1" s="10" t="inlineStr">
        <is>
          <t>Nombre en base MCIC (director/revisor/jurado)</t>
        </is>
      </c>
      <c r="H1" s="10" t="inlineStr">
        <is>
          <t>Base MCIC donde aparece</t>
        </is>
      </c>
      <c r="I1" s="10" t="inlineStr">
        <is>
          <t>Docente de planta MCIC (escalafón)</t>
        </is>
      </c>
      <c r="J1" s="10" t="inlineStr">
        <is>
          <t>Grupo(s) de investigación MCIC</t>
        </is>
      </c>
      <c r="K1" s="10" t="inlineStr">
        <is>
          <t>Otro vínculo con la MCIC</t>
        </is>
      </c>
      <c r="L1" s="10" t="inlineStr">
        <is>
          <t>Proyectos con convenio URELINTER (exacto o relacionado)</t>
        </is>
      </c>
      <c r="M1" s="10" t="inlineStr">
        <is>
          <t>Observación</t>
        </is>
      </c>
    </row>
    <row r="2">
      <c r="A2" s="11" t="inlineStr">
        <is>
          <t>ADRIANA MARCELA VEGA ESCOBAR</t>
        </is>
      </c>
      <c r="B2" s="11" t="inlineStr">
        <is>
          <t>ADRIANA MARCELA VEGA ESCOBAR</t>
        </is>
      </c>
      <c r="C2" s="12">
        <f>COUNTIF(Detalle!$A$2:$A$31,A2)</f>
        <v/>
      </c>
      <c r="D2" s="11" t="inlineStr">
        <is>
          <t>P01, P04</t>
        </is>
      </c>
      <c r="E2" s="11" t="inlineStr">
        <is>
          <t>Sí</t>
        </is>
      </c>
      <c r="F2" s="11" t="inlineStr">
        <is>
          <t>Alta</t>
        </is>
      </c>
      <c r="G2" s="11" t="inlineStr">
        <is>
          <t>Adriana Vega</t>
        </is>
      </c>
      <c r="H2" s="11" t="inlineStr">
        <is>
          <t>MCIC - Base de datos PROFUNDIZACIÓN</t>
        </is>
      </c>
      <c r="I2" s="11" t="inlineStr">
        <is>
          <t>No</t>
        </is>
      </c>
      <c r="J2" s="11" t="inlineStr">
        <is>
          <t>GCEM - Grupo de Compatibilidad e Interferencia Electromagnética (Integrante); GESETIC - Grupo de Investigación en Gestión de Sistemas Energéticos con Base en Tecnologías de Información y Comunicación (Integrante)</t>
        </is>
      </c>
      <c r="K2" s="11" t="inlineStr"/>
      <c r="L2" s="12">
        <f>COUNTIFS(Detalle!$A$2:$A$31,A2,Detalle!$H$2:$H$31,"Relacionado (sector)")+COUNTIFS(Detalle!$A$2:$A$31,A2,Detalle!$H$2:$H$31,"Con convenio")</f>
        <v/>
      </c>
      <c r="M2" s="11" t="inlineStr"/>
    </row>
    <row r="3">
      <c r="A3" s="11" t="inlineStr">
        <is>
          <t>CARLOS MONTENEGRO MARIN</t>
        </is>
      </c>
      <c r="B3" s="11" t="inlineStr">
        <is>
          <t>CARLOS MONTENEGRO MARÍN</t>
        </is>
      </c>
      <c r="C3" s="12">
        <f>COUNTIF(Detalle!$A$2:$A$31,A3)</f>
        <v/>
      </c>
      <c r="D3" s="11" t="inlineStr">
        <is>
          <t>P09</t>
        </is>
      </c>
      <c r="E3" s="11" t="inlineStr">
        <is>
          <t>Sí</t>
        </is>
      </c>
      <c r="F3" s="11" t="inlineStr">
        <is>
          <t>Alta</t>
        </is>
      </c>
      <c r="G3" s="11" t="inlineStr">
        <is>
          <t>Carlos Enrique Montenegro Marin</t>
        </is>
      </c>
      <c r="H3" s="11" t="inlineStr">
        <is>
          <t>MCIC - Base de datos PROFUNDIZACIÓN</t>
        </is>
      </c>
      <c r="I3" s="11" t="inlineStr">
        <is>
          <t>No</t>
        </is>
      </c>
      <c r="J3" s="11" t="inlineStr">
        <is>
          <t>GIIRA - Grupo de Investigación en Interconexión de Redes Académicas (Líder)</t>
        </is>
      </c>
      <c r="K3" s="11" t="inlineStr">
        <is>
          <t>Egresado: MONTENEGRO MARIN CARLOS E.</t>
        </is>
      </c>
      <c r="L3" s="12">
        <f>COUNTIFS(Detalle!$A$2:$A$31,A3,Detalle!$H$2:$H$31,"Relacionado (sector)")+COUNTIFS(Detalle!$A$2:$A$31,A3,Detalle!$H$2:$H$31,"Con convenio")</f>
        <v/>
      </c>
      <c r="M3" s="11" t="inlineStr">
        <is>
          <t>También registrado en la MCIC como Egresado: MONTENEGRO MARIN CARLOS E..</t>
        </is>
      </c>
    </row>
    <row r="4">
      <c r="A4" s="11" t="inlineStr">
        <is>
          <t>CESAR ANDREY PERDOMO CHARRY</t>
        </is>
      </c>
      <c r="B4" s="11" t="inlineStr">
        <is>
          <t>CESAR ANDREY PERDOMO CHARRY</t>
        </is>
      </c>
      <c r="C4" s="12">
        <f>COUNTIF(Detalle!$A$2:$A$31,A4)</f>
        <v/>
      </c>
      <c r="D4" s="11" t="inlineStr">
        <is>
          <t>P03</t>
        </is>
      </c>
      <c r="E4" s="11" t="inlineStr">
        <is>
          <t>Sí</t>
        </is>
      </c>
      <c r="F4" s="11" t="inlineStr">
        <is>
          <t>Alta</t>
        </is>
      </c>
      <c r="G4" s="11" t="inlineStr">
        <is>
          <t>Cesar Andrey Perdomo Charry</t>
        </is>
      </c>
      <c r="H4" s="11" t="inlineStr">
        <is>
          <t>MCIC - Base de datos PROFUNDIZACIÓN</t>
        </is>
      </c>
      <c r="I4" s="11" t="inlineStr">
        <is>
          <t>Sí – PROFESOR TITULAR COMPLETO</t>
        </is>
      </c>
      <c r="J4" s="11" t="inlineStr">
        <is>
          <t>LASER - Laboratorio de Automatización, Sistemas Embebidos y Robótica (Integrante)</t>
        </is>
      </c>
      <c r="K4" s="11" t="inlineStr"/>
      <c r="L4" s="12">
        <f>COUNTIFS(Detalle!$A$2:$A$31,A4,Detalle!$H$2:$H$31,"Relacionado (sector)")+COUNTIFS(Detalle!$A$2:$A$31,A4,Detalle!$H$2:$H$31,"Con convenio")</f>
        <v/>
      </c>
      <c r="M4" s="11" t="inlineStr"/>
    </row>
    <row r="5">
      <c r="A5" s="11" t="inlineStr">
        <is>
          <t>CESAR LEONARDO TRUJILLO RODRIGUEZ</t>
        </is>
      </c>
      <c r="B5" s="11" t="inlineStr">
        <is>
          <t>CESAR LEONARDO TRUJILLO RODRIGUEZ</t>
        </is>
      </c>
      <c r="C5" s="12">
        <f>COUNTIF(Detalle!$A$2:$A$31,A5)</f>
        <v/>
      </c>
      <c r="D5" s="11" t="inlineStr">
        <is>
          <t>P01</t>
        </is>
      </c>
      <c r="E5" s="11" t="inlineStr">
        <is>
          <t>Sí</t>
        </is>
      </c>
      <c r="F5" s="11" t="inlineStr">
        <is>
          <t>Alta</t>
        </is>
      </c>
      <c r="G5" s="11" t="inlineStr">
        <is>
          <t>Cesar Trujillo</t>
        </is>
      </c>
      <c r="H5" s="11" t="inlineStr">
        <is>
          <t>MCIC - Base de datos PROFUNDIZACIÓN</t>
        </is>
      </c>
      <c r="I5" s="11" t="inlineStr">
        <is>
          <t>No</t>
        </is>
      </c>
      <c r="J5" s="11" t="inlineStr">
        <is>
          <t>LIFAE - Laboratorio de Investigación en Fuentes Alternativas de Energía (Integrante)</t>
        </is>
      </c>
      <c r="K5" s="11" t="inlineStr"/>
      <c r="L5" s="12">
        <f>COUNTIFS(Detalle!$A$2:$A$31,A5,Detalle!$H$2:$H$31,"Relacionado (sector)")+COUNTIFS(Detalle!$A$2:$A$31,A5,Detalle!$H$2:$H$31,"Con convenio")</f>
        <v/>
      </c>
      <c r="M5" s="11" t="inlineStr"/>
    </row>
    <row r="6">
      <c r="A6" s="11" t="inlineStr">
        <is>
          <t>DARIN JAIRO MOSQUERA</t>
        </is>
      </c>
      <c r="B6" s="11" t="inlineStr">
        <is>
          <t>DARIN JAIRO MOSQUERA</t>
        </is>
      </c>
      <c r="C6" s="12">
        <f>COUNTIF(Detalle!$A$2:$A$31,A6)</f>
        <v/>
      </c>
      <c r="D6" s="11" t="inlineStr">
        <is>
          <t>P10</t>
        </is>
      </c>
      <c r="E6" s="11" t="inlineStr">
        <is>
          <t>Sí</t>
        </is>
      </c>
      <c r="F6" s="11" t="inlineStr">
        <is>
          <t>Alta</t>
        </is>
      </c>
      <c r="G6" s="11" t="inlineStr">
        <is>
          <t>Darin Mosquera</t>
        </is>
      </c>
      <c r="H6" s="11" t="inlineStr">
        <is>
          <t>MCIC - Base de datos PROFUNDIZACIÓN</t>
        </is>
      </c>
      <c r="I6" s="11" t="inlineStr">
        <is>
          <t>No</t>
        </is>
      </c>
      <c r="J6" s="11" t="inlineStr"/>
      <c r="K6" s="11" t="inlineStr">
        <is>
          <t>Egresado: DARIN JAIRO MOSQUERA PALACIOS</t>
        </is>
      </c>
      <c r="L6" s="12">
        <f>COUNTIFS(Detalle!$A$2:$A$31,A6,Detalle!$H$2:$H$31,"Relacionado (sector)")+COUNTIFS(Detalle!$A$2:$A$31,A6,Detalle!$H$2:$H$31,"Con convenio")</f>
        <v/>
      </c>
      <c r="M6" s="11" t="inlineStr">
        <is>
          <t>También registrado en la MCIC como Egresado: DARIN JAIRO MOSQUERA PALACIOS.</t>
        </is>
      </c>
    </row>
    <row r="7">
      <c r="A7" s="11" t="inlineStr">
        <is>
          <t>EDUYN RAMIRO LOPEZ SANTANA</t>
        </is>
      </c>
      <c r="B7" s="11" t="inlineStr">
        <is>
          <t>EDUYIN RAMIRO LOPEZ SANTANA / EDUYN RAMIRO LOPEZ SANTANA</t>
        </is>
      </c>
      <c r="C7" s="12">
        <f>COUNTIF(Detalle!$A$2:$A$31,A7)</f>
        <v/>
      </c>
      <c r="D7" s="11" t="inlineStr">
        <is>
          <t>P02, P03, P14</t>
        </is>
      </c>
      <c r="E7" s="11" t="inlineStr">
        <is>
          <t>Sí</t>
        </is>
      </c>
      <c r="F7" s="11" t="inlineStr">
        <is>
          <t>Alta</t>
        </is>
      </c>
      <c r="G7" s="11" t="inlineStr">
        <is>
          <t>Eduyn Ramiro López Santana.</t>
        </is>
      </c>
      <c r="H7" s="11" t="inlineStr">
        <is>
          <t>MCIC - Base de datos GRANDE</t>
        </is>
      </c>
      <c r="I7" s="11" t="inlineStr">
        <is>
          <t>No</t>
        </is>
      </c>
      <c r="J7" s="11" t="inlineStr"/>
      <c r="K7" s="11" t="inlineStr"/>
      <c r="L7" s="12">
        <f>COUNTIFS(Detalle!$A$2:$A$31,A7,Detalle!$H$2:$H$31,"Relacionado (sector)")+COUNTIFS(Detalle!$A$2:$A$31,A7,Detalle!$H$2:$H$31,"Con convenio")</f>
        <v/>
      </c>
      <c r="M7" s="11" t="inlineStr">
        <is>
          <t>Aparece escrito de varias formas en la fuente: EDUYIN RAMIRO LOPEZ SANTANA / EDUYN RAMIRO LOPEZ SANTANA</t>
        </is>
      </c>
    </row>
    <row r="8">
      <c r="A8" s="11" t="inlineStr">
        <is>
          <t>EDWIN RIVAS TRUJILLO</t>
        </is>
      </c>
      <c r="B8" s="11" t="inlineStr">
        <is>
          <t>EDWIN RIVAS TRUJILLO</t>
        </is>
      </c>
      <c r="C8" s="12">
        <f>COUNTIF(Detalle!$A$2:$A$31,A8)</f>
        <v/>
      </c>
      <c r="D8" s="11" t="inlineStr">
        <is>
          <t>P04</t>
        </is>
      </c>
      <c r="E8" s="11" t="inlineStr">
        <is>
          <t>Sí</t>
        </is>
      </c>
      <c r="F8" s="11" t="inlineStr">
        <is>
          <t>Alta</t>
        </is>
      </c>
      <c r="G8" s="11" t="inlineStr">
        <is>
          <t>Edwin Rivas Trujillo</t>
        </is>
      </c>
      <c r="H8" s="11" t="inlineStr">
        <is>
          <t>MCIC - Base de datos PROFUNDIZACIÓN</t>
        </is>
      </c>
      <c r="I8" s="11" t="inlineStr">
        <is>
          <t>No</t>
        </is>
      </c>
      <c r="J8" s="11" t="inlineStr">
        <is>
          <t>GCEM - Grupo de Compatibilidad e Interferencia Electromagnética (Líder)</t>
        </is>
      </c>
      <c r="K8" s="11" t="inlineStr"/>
      <c r="L8" s="12">
        <f>COUNTIFS(Detalle!$A$2:$A$31,A8,Detalle!$H$2:$H$31,"Relacionado (sector)")+COUNTIFS(Detalle!$A$2:$A$31,A8,Detalle!$H$2:$H$31,"Con convenio")</f>
        <v/>
      </c>
      <c r="M8" s="11" t="inlineStr"/>
    </row>
    <row r="9">
      <c r="A9" s="11" t="inlineStr">
        <is>
          <t>ERNESTO GOMEZ VARGAS</t>
        </is>
      </c>
      <c r="B9" s="11" t="inlineStr">
        <is>
          <t>ERNESTO GOMEZ VARGAS</t>
        </is>
      </c>
      <c r="C9" s="12">
        <f>COUNTIF(Detalle!$A$2:$A$31,A9)</f>
        <v/>
      </c>
      <c r="D9" s="11" t="inlineStr">
        <is>
          <t>P01</t>
        </is>
      </c>
      <c r="E9" s="11" t="inlineStr">
        <is>
          <t>Sí</t>
        </is>
      </c>
      <c r="F9" s="11" t="inlineStr">
        <is>
          <t>Alta</t>
        </is>
      </c>
      <c r="G9" s="11" t="inlineStr">
        <is>
          <t>Ernesto Gomez Vargas</t>
        </is>
      </c>
      <c r="H9" s="11" t="inlineStr">
        <is>
          <t>MCIC - Base de datos PROFUNDIZACIÓN</t>
        </is>
      </c>
      <c r="I9" s="11" t="inlineStr">
        <is>
          <t>Sí – PROFESOR TITULAR COMPLETO</t>
        </is>
      </c>
      <c r="J9" s="11" t="inlineStr">
        <is>
          <t>LASER - Laboratorio de Automatización, Sistemas Embebidos y Robótica (Líder)</t>
        </is>
      </c>
      <c r="K9" s="11" t="inlineStr"/>
      <c r="L9" s="12">
        <f>COUNTIFS(Detalle!$A$2:$A$31,A9,Detalle!$H$2:$H$31,"Relacionado (sector)")+COUNTIFS(Detalle!$A$2:$A$31,A9,Detalle!$H$2:$H$31,"Con convenio")</f>
        <v/>
      </c>
      <c r="M9" s="11" t="inlineStr"/>
    </row>
    <row r="10">
      <c r="A10" s="11" t="inlineStr">
        <is>
          <t>FEIZAR ARTURO RUEDA</t>
        </is>
      </c>
      <c r="B10" s="11" t="inlineStr">
        <is>
          <t>FEIZAR ARTURO RUEDA</t>
        </is>
      </c>
      <c r="C10" s="12">
        <f>COUNTIF(Detalle!$A$2:$A$31,A10)</f>
        <v/>
      </c>
      <c r="D10" s="11" t="inlineStr">
        <is>
          <t>P13</t>
        </is>
      </c>
      <c r="E10" s="11" t="inlineStr">
        <is>
          <t>No</t>
        </is>
      </c>
      <c r="F10" s="11" t="inlineStr"/>
      <c r="G10" s="11" t="inlineStr"/>
      <c r="H10" s="11" t="inlineStr"/>
      <c r="I10" s="11" t="inlineStr">
        <is>
          <t>No</t>
        </is>
      </c>
      <c r="J10" s="11" t="inlineStr"/>
      <c r="K10" s="11" t="inlineStr"/>
      <c r="L10" s="12">
        <f>COUNTIFS(Detalle!$A$2:$A$31,A10,Detalle!$H$2:$H$31,"Relacionado (sector)")+COUNTIFS(Detalle!$A$2:$A$31,A10,Detalle!$H$2:$H$31,"Con convenio")</f>
        <v/>
      </c>
      <c r="M10" s="11" t="inlineStr">
        <is>
          <t>No aparece como director, revisor, jurado, docente de planta ni integrante de grupo de la MCIC.</t>
        </is>
      </c>
    </row>
    <row r="11">
      <c r="A11" s="11" t="inlineStr">
        <is>
          <t>FRANCISCO SANTAMARIA PIEDRAHITA</t>
        </is>
      </c>
      <c r="B11" s="11" t="inlineStr">
        <is>
          <t>FRANCISCO SANTAMARIA PIEDRAHITA</t>
        </is>
      </c>
      <c r="C11" s="12">
        <f>COUNTIF(Detalle!$A$2:$A$31,A11)</f>
        <v/>
      </c>
      <c r="D11" s="11" t="inlineStr">
        <is>
          <t>P01</t>
        </is>
      </c>
      <c r="E11" s="11" t="inlineStr">
        <is>
          <t>Sí</t>
        </is>
      </c>
      <c r="F11" s="11" t="inlineStr">
        <is>
          <t>Alta</t>
        </is>
      </c>
      <c r="G11" s="11" t="inlineStr">
        <is>
          <t>Francisco Santamaria Piedrahita</t>
        </is>
      </c>
      <c r="H11" s="11" t="inlineStr">
        <is>
          <t>MCIC - Base de datos PROFUNDIZACIÓN</t>
        </is>
      </c>
      <c r="I11" s="11" t="inlineStr">
        <is>
          <t>No</t>
        </is>
      </c>
      <c r="J11" s="11" t="inlineStr">
        <is>
          <t>GCEM - Grupo de Compatibilidad e Interferencia Electromagnética (Integrante)</t>
        </is>
      </c>
      <c r="K11" s="11" t="inlineStr"/>
      <c r="L11" s="12">
        <f>COUNTIFS(Detalle!$A$2:$A$31,A11,Detalle!$H$2:$H$31,"Relacionado (sector)")+COUNTIFS(Detalle!$A$2:$A$31,A11,Detalle!$H$2:$H$31,"Con convenio")</f>
        <v/>
      </c>
      <c r="M11" s="11" t="inlineStr"/>
    </row>
    <row r="12">
      <c r="A12" s="11" t="inlineStr">
        <is>
          <t>GERMAN ANDRES MENDEZ</t>
        </is>
      </c>
      <c r="B12" s="11" t="inlineStr">
        <is>
          <t>GERMAN ANDRES MENDEZ</t>
        </is>
      </c>
      <c r="C12" s="12">
        <f>COUNTIF(Detalle!$A$2:$A$31,A12)</f>
        <v/>
      </c>
      <c r="D12" s="11" t="inlineStr">
        <is>
          <t>P02, P14</t>
        </is>
      </c>
      <c r="E12" s="11" t="inlineStr">
        <is>
          <t>Sí</t>
        </is>
      </c>
      <c r="F12" s="11" t="inlineStr">
        <is>
          <t>Alta</t>
        </is>
      </c>
      <c r="G12" s="11" t="inlineStr">
        <is>
          <t>German Andres Mendez Giraldo</t>
        </is>
      </c>
      <c r="H12" s="11" t="inlineStr">
        <is>
          <t>MCIC - Base de datos PROFUNDIZACIÓN</t>
        </is>
      </c>
      <c r="I12" s="11" t="inlineStr">
        <is>
          <t>No</t>
        </is>
      </c>
      <c r="J12" s="11" t="inlineStr"/>
      <c r="K12" s="11" t="inlineStr"/>
      <c r="L12" s="12">
        <f>COUNTIFS(Detalle!$A$2:$A$31,A12,Detalle!$H$2:$H$31,"Relacionado (sector)")+COUNTIFS(Detalle!$A$2:$A$31,A12,Detalle!$H$2:$H$31,"Con convenio")</f>
        <v/>
      </c>
      <c r="M12" s="11" t="inlineStr"/>
    </row>
    <row r="13">
      <c r="A13" s="11" t="inlineStr">
        <is>
          <t>JAVIER ARTURO ORJUELA CASTRO</t>
        </is>
      </c>
      <c r="B13" s="11" t="inlineStr">
        <is>
          <t>JAVIER ARTURO ORJUELA CASTRO</t>
        </is>
      </c>
      <c r="C13" s="12">
        <f>COUNTIF(Detalle!$A$2:$A$31,A13)</f>
        <v/>
      </c>
      <c r="D13" s="11" t="inlineStr">
        <is>
          <t>P05, P07, P13, P14</t>
        </is>
      </c>
      <c r="E13" s="11" t="inlineStr">
        <is>
          <t>No</t>
        </is>
      </c>
      <c r="F13" s="11" t="inlineStr"/>
      <c r="G13" s="11" t="inlineStr"/>
      <c r="H13" s="11" t="inlineStr"/>
      <c r="I13" s="11" t="inlineStr">
        <is>
          <t>No</t>
        </is>
      </c>
      <c r="J13" s="11" t="inlineStr"/>
      <c r="K13" s="11" t="inlineStr"/>
      <c r="L13" s="12">
        <f>COUNTIFS(Detalle!$A$2:$A$31,A13,Detalle!$H$2:$H$31,"Relacionado (sector)")+COUNTIFS(Detalle!$A$2:$A$31,A13,Detalle!$H$2:$H$31,"Con convenio")</f>
        <v/>
      </c>
      <c r="M13" s="11" t="inlineStr">
        <is>
          <t>No aparece como director, revisor, jurado, docente de planta ni integrante de grupo de la MCIC.</t>
        </is>
      </c>
    </row>
    <row r="14">
      <c r="A14" s="11" t="inlineStr">
        <is>
          <t>JOHAN ALEXANDER HERNANDEZ MORA</t>
        </is>
      </c>
      <c r="B14" s="11" t="inlineStr">
        <is>
          <t>JOHAN ALEXANDER HERNANDEZ MORA</t>
        </is>
      </c>
      <c r="C14" s="12">
        <f>COUNTIF(Detalle!$A$2:$A$31,A14)</f>
        <v/>
      </c>
      <c r="D14" s="11" t="inlineStr">
        <is>
          <t>P01</t>
        </is>
      </c>
      <c r="E14" s="11" t="inlineStr">
        <is>
          <t>Sí</t>
        </is>
      </c>
      <c r="F14" s="11" t="inlineStr">
        <is>
          <t>Media (nombre abreviado en la base MCIC)</t>
        </is>
      </c>
      <c r="G14" s="11" t="inlineStr">
        <is>
          <t>Johan Hernandez</t>
        </is>
      </c>
      <c r="H14" s="11" t="inlineStr">
        <is>
          <t>MCIC - Base de datos PROFUNDIZACIÓN</t>
        </is>
      </c>
      <c r="I14" s="11" t="inlineStr">
        <is>
          <t>No</t>
        </is>
      </c>
      <c r="J14" s="11" t="inlineStr"/>
      <c r="K14" s="11" t="inlineStr"/>
      <c r="L14" s="12">
        <f>COUNTIFS(Detalle!$A$2:$A$31,A14,Detalle!$H$2:$H$31,"Relacionado (sector)")+COUNTIFS(Detalle!$A$2:$A$31,A14,Detalle!$H$2:$H$31,"Con convenio")</f>
        <v/>
      </c>
      <c r="M14" s="11" t="inlineStr">
        <is>
          <t>Solo coincide con "Johan Hernandez"; confirmar identidad.</t>
        </is>
      </c>
    </row>
    <row r="15">
      <c r="A15" s="11" t="inlineStr">
        <is>
          <t>JOSE IGNACIO RODRIGUEZ MOLANO</t>
        </is>
      </c>
      <c r="B15" s="11" t="inlineStr">
        <is>
          <t>JOSE IGNACIO RODRIGUEZ MOLANO</t>
        </is>
      </c>
      <c r="C15" s="12">
        <f>COUNTIF(Detalle!$A$2:$A$31,A15)</f>
        <v/>
      </c>
      <c r="D15" s="11" t="inlineStr">
        <is>
          <t>P02</t>
        </is>
      </c>
      <c r="E15" s="11" t="inlineStr">
        <is>
          <t>Sí</t>
        </is>
      </c>
      <c r="F15" s="11" t="inlineStr">
        <is>
          <t>Alta</t>
        </is>
      </c>
      <c r="G15" s="11" t="inlineStr">
        <is>
          <t>Jose Ignacio Rodriguez Molano</t>
        </is>
      </c>
      <c r="H15" s="11" t="inlineStr">
        <is>
          <t>MCIC - Base de datos PROFUNDIZACIÓN</t>
        </is>
      </c>
      <c r="I15" s="11" t="inlineStr">
        <is>
          <t>No</t>
        </is>
      </c>
      <c r="J15" s="11" t="inlineStr">
        <is>
          <t>GICOECOL - Comercio Electronico en Colombia (Líder)</t>
        </is>
      </c>
      <c r="K15" s="11" t="inlineStr"/>
      <c r="L15" s="12">
        <f>COUNTIFS(Detalle!$A$2:$A$31,A15,Detalle!$H$2:$H$31,"Relacionado (sector)")+COUNTIFS(Detalle!$A$2:$A$31,A15,Detalle!$H$2:$H$31,"Con convenio")</f>
        <v/>
      </c>
      <c r="M15" s="11" t="inlineStr"/>
    </row>
    <row r="16">
      <c r="A16" s="11" t="inlineStr">
        <is>
          <t>JUAN CARLOS FIGUEROA GARCIA</t>
        </is>
      </c>
      <c r="B16" s="11" t="inlineStr">
        <is>
          <t>JUAN CARLOS FIGUEROA GARCIA</t>
        </is>
      </c>
      <c r="C16" s="12">
        <f>COUNTIF(Detalle!$A$2:$A$31,A16)</f>
        <v/>
      </c>
      <c r="D16" s="11" t="inlineStr">
        <is>
          <t>P14</t>
        </is>
      </c>
      <c r="E16" s="11" t="inlineStr">
        <is>
          <t>Sí</t>
        </is>
      </c>
      <c r="F16" s="11" t="inlineStr">
        <is>
          <t>Alta</t>
        </is>
      </c>
      <c r="G16" s="11" t="inlineStr">
        <is>
          <t>Juan Carlos Figueroa Garcia</t>
        </is>
      </c>
      <c r="H16" s="11" t="inlineStr">
        <is>
          <t>MCIC - Base de datos PROFUNDIZACIÓN</t>
        </is>
      </c>
      <c r="I16" s="11" t="inlineStr">
        <is>
          <t>Sí – PROFESOR ASOCIADO COMPLETO</t>
        </is>
      </c>
      <c r="J16" s="11" t="inlineStr">
        <is>
          <t>LAMIC - Laboratorio de Automática e Inteligencia Computacional (Integrante)</t>
        </is>
      </c>
      <c r="K16" s="11" t="inlineStr"/>
      <c r="L16" s="12">
        <f>COUNTIFS(Detalle!$A$2:$A$31,A16,Detalle!$H$2:$H$31,"Relacionado (sector)")+COUNTIFS(Detalle!$A$2:$A$31,A16,Detalle!$H$2:$H$31,"Con convenio")</f>
        <v/>
      </c>
      <c r="M16" s="11" t="inlineStr"/>
    </row>
    <row r="17">
      <c r="A17" s="11" t="inlineStr">
        <is>
          <t>LEONARDO EMIRO CONTRERAS BRAVO</t>
        </is>
      </c>
      <c r="B17" s="11" t="inlineStr">
        <is>
          <t>LEONARDO EMIRO CONTRERAS BRAVO</t>
        </is>
      </c>
      <c r="C17" s="12">
        <f>COUNTIF(Detalle!$A$2:$A$31,A17)</f>
        <v/>
      </c>
      <c r="D17" s="11" t="inlineStr">
        <is>
          <t>P11, P12</t>
        </is>
      </c>
      <c r="E17" s="11" t="inlineStr">
        <is>
          <t>Sí</t>
        </is>
      </c>
      <c r="F17" s="11" t="inlineStr">
        <is>
          <t>Alta</t>
        </is>
      </c>
      <c r="G17" s="11" t="inlineStr">
        <is>
          <t>Leonardo Emirio Contreras Braavo</t>
        </is>
      </c>
      <c r="H17" s="11" t="inlineStr">
        <is>
          <t>MCIC - Base de datos INVESTIGACION</t>
        </is>
      </c>
      <c r="I17" s="11" t="inlineStr">
        <is>
          <t>No</t>
        </is>
      </c>
      <c r="J17" s="11" t="inlineStr"/>
      <c r="K17" s="11" t="inlineStr"/>
      <c r="L17" s="12">
        <f>COUNTIFS(Detalle!$A$2:$A$31,A17,Detalle!$H$2:$H$31,"Relacionado (sector)")+COUNTIFS(Detalle!$A$2:$A$31,A17,Detalle!$H$2:$H$31,"Con convenio")</f>
        <v/>
      </c>
      <c r="M17" s="11" t="inlineStr"/>
    </row>
    <row r="18">
      <c r="A18" s="11" t="inlineStr">
        <is>
          <t>LINDSAY ALVAREZ POMAR</t>
        </is>
      </c>
      <c r="B18" s="11" t="inlineStr">
        <is>
          <t>LINDSAY ALVAREZ POMAR / LINSAY ALVAREZ POMAR</t>
        </is>
      </c>
      <c r="C18" s="12">
        <f>COUNTIF(Detalle!$A$2:$A$31,A18)</f>
        <v/>
      </c>
      <c r="D18" s="11" t="inlineStr">
        <is>
          <t>P01, P04</t>
        </is>
      </c>
      <c r="E18" s="11" t="inlineStr">
        <is>
          <t>Sí</t>
        </is>
      </c>
      <c r="F18" s="11" t="inlineStr">
        <is>
          <t>Alta</t>
        </is>
      </c>
      <c r="G18" s="11" t="inlineStr">
        <is>
          <t>Lindsay Alvarez Pomar</t>
        </is>
      </c>
      <c r="H18" s="11" t="inlineStr">
        <is>
          <t>MCIC - Base de datos PROFUNDIZACIÓN</t>
        </is>
      </c>
      <c r="I18" s="11" t="inlineStr">
        <is>
          <t>No</t>
        </is>
      </c>
      <c r="J18" s="11" t="inlineStr"/>
      <c r="K18" s="11" t="inlineStr"/>
      <c r="L18" s="12">
        <f>COUNTIFS(Detalle!$A$2:$A$31,A18,Detalle!$H$2:$H$31,"Relacionado (sector)")+COUNTIFS(Detalle!$A$2:$A$31,A18,Detalle!$H$2:$H$31,"Con convenio")</f>
        <v/>
      </c>
      <c r="M18" s="11" t="inlineStr">
        <is>
          <t>Aparece escrito de varias formas en la fuente: LINDSAY ALVAREZ POMAR / LINSAY ALVAREZ POMAR</t>
        </is>
      </c>
    </row>
    <row r="19">
      <c r="A19" s="11" t="inlineStr">
        <is>
          <t>OCTAVIO JOSE SALCEDO PARRA</t>
        </is>
      </c>
      <c r="B19" s="11" t="inlineStr">
        <is>
          <t>OCTAVIO JOSE SALCEDO PARRA</t>
        </is>
      </c>
      <c r="C19" s="12">
        <f>COUNTIF(Detalle!$A$2:$A$31,A19)</f>
        <v/>
      </c>
      <c r="D19" s="11" t="inlineStr">
        <is>
          <t>P06, P08</t>
        </is>
      </c>
      <c r="E19" s="11" t="inlineStr">
        <is>
          <t>Sí</t>
        </is>
      </c>
      <c r="F19" s="11" t="inlineStr">
        <is>
          <t>Alta</t>
        </is>
      </c>
      <c r="G19" s="11" t="inlineStr">
        <is>
          <t>Octavio Jose Salcedo Parra</t>
        </is>
      </c>
      <c r="H19" s="11" t="inlineStr">
        <is>
          <t>MCIC - Base de datos PROFUNDIZACIÓN</t>
        </is>
      </c>
      <c r="I19" s="11" t="inlineStr">
        <is>
          <t>Sí – PROFESOR TITULAR COMPLETO</t>
        </is>
      </c>
      <c r="J19" s="11" t="inlineStr">
        <is>
          <t>Internet Inteligente (Líder)</t>
        </is>
      </c>
      <c r="K19" s="11" t="inlineStr"/>
      <c r="L19" s="12">
        <f>COUNTIFS(Detalle!$A$2:$A$31,A19,Detalle!$H$2:$H$31,"Relacionado (sector)")+COUNTIFS(Detalle!$A$2:$A$31,A19,Detalle!$H$2:$H$31,"Con convenio")</f>
        <v/>
      </c>
      <c r="M19" s="11" t="inlineStr"/>
    </row>
    <row r="20">
      <c r="A20" s="11" t="inlineStr">
        <is>
          <t>ROBERTO FERRO ESCOBAR</t>
        </is>
      </c>
      <c r="B20" s="11" t="inlineStr">
        <is>
          <t>ROBERTO FERRO ESCOBAR</t>
        </is>
      </c>
      <c r="C20" s="12">
        <f>COUNTIF(Detalle!$A$2:$A$31,A20)</f>
        <v/>
      </c>
      <c r="D20" s="11" t="inlineStr">
        <is>
          <t>P14</t>
        </is>
      </c>
      <c r="E20" s="11" t="inlineStr">
        <is>
          <t>Sí</t>
        </is>
      </c>
      <c r="F20" s="11" t="inlineStr">
        <is>
          <t>Alta</t>
        </is>
      </c>
      <c r="G20" s="11" t="inlineStr">
        <is>
          <t>Roberto Ferro Escobar</t>
        </is>
      </c>
      <c r="H20" s="11" t="inlineStr">
        <is>
          <t>MCIC - Base de datos PROFUNDIZACIÓN</t>
        </is>
      </c>
      <c r="I20" s="11" t="inlineStr">
        <is>
          <t>No</t>
        </is>
      </c>
      <c r="J20" s="11" t="inlineStr">
        <is>
          <t>GITEM++ - Grupo de Investigación de Telemedicina (Integrante); LIDER - Laboratorio de Investigación y Desarrollo en Electrónica y Redes (Líder)</t>
        </is>
      </c>
      <c r="K20" s="11" t="inlineStr"/>
      <c r="L20" s="12">
        <f>COUNTIFS(Detalle!$A$2:$A$31,A20,Detalle!$H$2:$H$31,"Relacionado (sector)")+COUNTIFS(Detalle!$A$2:$A$31,A20,Detalle!$H$2:$H$31,"Con convenio")</f>
        <v/>
      </c>
      <c r="M20" s="11" t="inlineStr"/>
    </row>
    <row r="21">
      <c r="A21" s="11" t="inlineStr">
        <is>
          <t>VICTOR HUGO MEDINA GARCIA</t>
        </is>
      </c>
      <c r="B21" s="11" t="inlineStr">
        <is>
          <t>VICTOR HUGO MEDINA GARCIA</t>
        </is>
      </c>
      <c r="C21" s="12">
        <f>COUNTIF(Detalle!$A$2:$A$31,A21)</f>
        <v/>
      </c>
      <c r="D21" s="11" t="inlineStr">
        <is>
          <t>P14</t>
        </is>
      </c>
      <c r="E21" s="11" t="inlineStr">
        <is>
          <t>Sí</t>
        </is>
      </c>
      <c r="F21" s="11" t="inlineStr">
        <is>
          <t>Alta</t>
        </is>
      </c>
      <c r="G21" s="11" t="inlineStr">
        <is>
          <t>Victor Hugo Medina Garcia</t>
        </is>
      </c>
      <c r="H21" s="11" t="inlineStr">
        <is>
          <t>MCIC - Base de datos PROFUNDIZACIÓN</t>
        </is>
      </c>
      <c r="I21" s="11" t="inlineStr">
        <is>
          <t>No</t>
        </is>
      </c>
      <c r="J21" s="11" t="inlineStr">
        <is>
          <t>GICOGE - Grupo Informática Comunicaciones y Gestión del conocimiento (Integrante)</t>
        </is>
      </c>
      <c r="K21" s="11" t="inlineStr"/>
      <c r="L21" s="12">
        <f>COUNTIFS(Detalle!$A$2:$A$31,A21,Detalle!$H$2:$H$31,"Relacionado (sector)")+COUNTIFS(Detalle!$A$2:$A$31,A21,Detalle!$H$2:$H$31,"Con convenio")</f>
        <v/>
      </c>
      <c r="M21" s="11" t="inlineStr"/>
    </row>
  </sheetData>
  <autoFilter ref="A1:M21"/>
  <conditionalFormatting sqref="E2:E21">
    <cfRule type="cellIs" priority="1" operator="equal" dxfId="0">
      <formula>"Sí"</formula>
    </cfRule>
    <cfRule type="cellIs" priority="2" operator="equal" dxfId="1">
      <formula>"No"</formula>
    </cfRule>
    <cfRule type="cellIs" priority="3" operator="equal" dxfId="1">
      <formula>"Sin convenio"</formula>
    </cfRule>
    <cfRule type="cellIs" priority="4" operator="equal" dxfId="2">
      <formula>"Relacionado (sector)"</formula>
    </cfRule>
    <cfRule type="cellIs" priority="5" operator="equal" dxfId="3">
      <formula>"No aplica"</formula>
    </cfRule>
  </conditionalFormatting>
  <conditionalFormatting sqref="F2:F21">
    <cfRule type="expression" priority="6" dxfId="2">
      <formula>LEFT(F2,5)="Media"</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0" customWidth="1" min="3" max="3"/>
    <col width="55" customWidth="1" min="4" max="4"/>
    <col width="38" customWidth="1" min="5" max="5"/>
    <col width="12" customWidth="1" min="6" max="6"/>
    <col width="14" customWidth="1" min="7" max="7"/>
    <col width="18" customWidth="1" min="8" max="8"/>
    <col width="13" customWidth="1" min="9" max="9"/>
    <col width="26" customWidth="1" min="10" max="10"/>
    <col width="13" customWidth="1" min="11" max="11"/>
    <col width="60" customWidth="1" min="12" max="12"/>
    <col width="70" customWidth="1" min="13" max="13"/>
  </cols>
  <sheetData>
    <row r="1">
      <c r="A1" s="10" t="inlineStr">
        <is>
          <t>ID</t>
        </is>
      </c>
      <c r="B1" s="10" t="inlineStr">
        <is>
          <t>Año</t>
        </is>
      </c>
      <c r="C1" s="10" t="inlineStr">
        <is>
          <t>Código</t>
        </is>
      </c>
      <c r="D1" s="10" t="inlineStr">
        <is>
          <t>Proyecto / contrato</t>
        </is>
      </c>
      <c r="E1" s="10" t="inlineStr">
        <is>
          <t>Entidad contratante</t>
        </is>
      </c>
      <c r="F1" s="10" t="inlineStr">
        <is>
          <t>N° docentes doctorado</t>
        </is>
      </c>
      <c r="G1" s="10" t="inlineStr">
        <is>
          <t>N° docentes que son profesores MCIC</t>
        </is>
      </c>
      <c r="H1" s="10" t="inlineStr">
        <is>
          <t>Convenio en URELINTER con la entidad</t>
        </is>
      </c>
      <c r="I1" s="10" t="inlineStr">
        <is>
          <t>Código URELINTER</t>
        </is>
      </c>
      <c r="J1" s="10" t="inlineStr">
        <is>
          <t>Institución en URELINTER</t>
        </is>
      </c>
      <c r="K1" s="10" t="inlineStr">
        <is>
          <t>Vigente hasta</t>
        </is>
      </c>
      <c r="L1" s="10" t="inlineStr">
        <is>
          <t>Observación del cruce</t>
        </is>
      </c>
      <c r="M1" s="10" t="inlineStr">
        <is>
          <t>Objeto del proyecto</t>
        </is>
      </c>
    </row>
    <row r="2">
      <c r="A2" s="11" t="inlineStr">
        <is>
          <t>P01</t>
        </is>
      </c>
      <c r="B2" s="11" t="inlineStr">
        <is>
          <t>2019</t>
        </is>
      </c>
      <c r="C2" s="11" t="inlineStr">
        <is>
          <t>UPME CV 002</t>
        </is>
      </c>
      <c r="D2" s="11" t="inlineStr">
        <is>
          <t>CONVENIO INTERADMINISTRATIVO DE ASOCIACION NO. UPME-CV-002 SUSCRITO ENTRE LA UNIDAD DE PLANEACION MINERO ENERGETICA-UPME; EL INSTITUTO DE PLANIFICACION Y PROMOCION DE SOLUCIONES ENERGETICAS PARA LAS ZONAS NO INTERCONECTADAS-IPSE Y LA UNIVERSIDAD DISTRITAL FRANCISCO JOSE DE CALDAS</t>
        </is>
      </c>
      <c r="E2" s="11" t="inlineStr">
        <is>
          <t>UNIDAD DE PLANEACION MINERO ENERGETICA-UPME</t>
        </is>
      </c>
      <c r="F2" s="12">
        <f>COUNTIF(Detalle!$B$2:$B$31,A2)</f>
        <v/>
      </c>
      <c r="G2" s="12">
        <f>COUNTIFS(Detalle!$B$2:$B$31,A2,Detalle!$G$2:$G$31,"Sí")</f>
        <v/>
      </c>
      <c r="H2" s="11" t="inlineStr">
        <is>
          <t>Relacionado (sector)</t>
        </is>
      </c>
      <c r="I2" s="11" t="inlineStr">
        <is>
          <t>C-2023-39</t>
        </is>
      </c>
      <c r="J2" s="11" t="inlineStr">
        <is>
          <t>Ministerio de Minas y Energía</t>
        </is>
      </c>
      <c r="K2" s="13">
        <f>IF(I2="","",IFERROR(INDEX('Convenios relacionados'!$F:$F,MATCH(I2,'Convenios relacionados'!$A:$A,0)),""))</f>
        <v/>
      </c>
      <c r="L2" s="11" t="inlineStr">
        <is>
          <t>La UPME es una unidad adscrita al Ministerio de Minas y Energía. URELINTER no registra convenio con la UPME ni con el IPSE, pero sí un Convenio Marco vigente con MinEnergía (C-2023-39) que cubre formación, investigación y extensión.</t>
        </is>
      </c>
      <c r="M2" s="11" t="inlineStr">
        <is>
          <t>Aunar esfuerzos técnicos administrativos y flnanpieros para elaboración del Plan de Energización Rural Sostenible — PERS, para el Departamento de Putumayo-Fase 2</t>
        </is>
      </c>
    </row>
    <row r="3">
      <c r="A3" s="11" t="inlineStr">
        <is>
          <t>P02</t>
        </is>
      </c>
      <c r="B3" s="11" t="inlineStr">
        <is>
          <t>2019</t>
        </is>
      </c>
      <c r="C3" s="11" t="inlineStr">
        <is>
          <t>FAC-ING-6637</t>
        </is>
      </c>
      <c r="D3" s="11" t="inlineStr">
        <is>
          <t>PROGRAMA ACADEMICO DE GRADO ACUERDO 069-2019 II</t>
        </is>
      </c>
      <c r="E3" s="11" t="inlineStr">
        <is>
          <t>UNIVERSIDAD DISTRITAL FRANCISCO JOSÉ DE CALDAS</t>
        </is>
      </c>
      <c r="F3" s="12">
        <f>COUNTIF(Detalle!$B$2:$B$31,A3)</f>
        <v/>
      </c>
      <c r="G3" s="12">
        <f>COUNTIFS(Detalle!$B$2:$B$31,A3,Detalle!$G$2:$G$31,"Sí")</f>
        <v/>
      </c>
      <c r="H3" s="11" t="inlineStr">
        <is>
          <t>No aplica</t>
        </is>
      </c>
      <c r="I3" s="11" t="inlineStr"/>
      <c r="J3" s="11" t="inlineStr"/>
      <c r="K3" s="13">
        <f>IF(I3="","",IFERROR(INDEX('Convenios relacionados'!$F:$F,MATCH(I3,'Convenios relacionados'!$A:$A,0)),""))</f>
        <v/>
      </c>
      <c r="L3" s="11" t="inlineStr">
        <is>
          <t>Proyecto interno de la Universidad Distrital (Facultad de Ingeniería); no requiere convenio.</t>
        </is>
      </c>
      <c r="M3" s="11" t="inlineStr">
        <is>
          <t>Desarrollar un programa transitorio como opción de grado para los estudiantes de pregrado que terminaron asignaturas del plan de estudios y aún no han obtenido su titulación en un proyecto curricular de pregrado de la Facultad de Ingeniería.</t>
        </is>
      </c>
    </row>
    <row r="4">
      <c r="A4" s="11" t="inlineStr">
        <is>
          <t>P03</t>
        </is>
      </c>
      <c r="B4" s="11" t="inlineStr">
        <is>
          <t>2019</t>
        </is>
      </c>
      <c r="C4" s="11" t="inlineStr">
        <is>
          <t>FAC-ING-6532</t>
        </is>
      </c>
      <c r="D4" s="11" t="inlineStr">
        <is>
          <t>PROGRAMA ACADÉMICO DE GRADO ACUERDO 069 2019-1-FACULTAD INGENIERÍA</t>
        </is>
      </c>
      <c r="E4" s="11" t="inlineStr">
        <is>
          <t>UNIVERSIDAD DISTRITAL FRANCISCO JOSÉ DE CALDAS</t>
        </is>
      </c>
      <c r="F4" s="12">
        <f>COUNTIF(Detalle!$B$2:$B$31,A4)</f>
        <v/>
      </c>
      <c r="G4" s="12">
        <f>COUNTIFS(Detalle!$B$2:$B$31,A4,Detalle!$G$2:$G$31,"Sí")</f>
        <v/>
      </c>
      <c r="H4" s="11" t="inlineStr">
        <is>
          <t>No aplica</t>
        </is>
      </c>
      <c r="I4" s="11" t="inlineStr"/>
      <c r="J4" s="11" t="inlineStr"/>
      <c r="K4" s="13">
        <f>IF(I4="","",IFERROR(INDEX('Convenios relacionados'!$F:$F,MATCH(I4,'Convenios relacionados'!$A:$A,0)),""))</f>
        <v/>
      </c>
      <c r="L4" s="11" t="inlineStr">
        <is>
          <t>Proyecto interno de la Universidad Distrital (Facultad de Ingeniería); no requiere convenio.</t>
        </is>
      </c>
      <c r="M4" s="11" t="inlineStr">
        <is>
          <t>Desarrollar un programa transitorio como opción de grado para los estudiantes de pregrado que terminaron asignaturas del plan de estudios y aún no han obtenido su titulación en un proyecto curricular de pregrado de la Facultad de Ingeniería.</t>
        </is>
      </c>
    </row>
    <row r="5">
      <c r="A5" s="11" t="inlineStr">
        <is>
          <t>P04</t>
        </is>
      </c>
      <c r="B5" s="11" t="inlineStr">
        <is>
          <t>2019</t>
        </is>
      </c>
      <c r="C5" s="11" t="inlineStr">
        <is>
          <t>SMEG-CDCTI-013</t>
        </is>
      </c>
      <c r="D5" s="11" t="inlineStr">
        <is>
          <t>CONTRATO INTERADMINISTRATIVO N SMEG-CDCTI-013-2019 SUSCRITO ENTRE EL DEPARTAMENTO DE CUNDINAMARCA- SECRETARIA DE MINAS, ENERGIA Y GAS NIT N 899999114-0 Y LA UNIVERSIDAD DISTRITAL FRANCISCO JOSE DE CALDAS IDENTIFICADO CON N DE NIT N 899999230-7</t>
        </is>
      </c>
      <c r="E5" s="11" t="inlineStr">
        <is>
          <t>DEPARTAMENTO DE CUNDINAMARCA - SECRETARÍA DE MINAS, ENERGÍA Y GAS</t>
        </is>
      </c>
      <c r="F5" s="12">
        <f>COUNTIF(Detalle!$B$2:$B$31,A5)</f>
        <v/>
      </c>
      <c r="G5" s="12">
        <f>COUNTIFS(Detalle!$B$2:$B$31,A5,Detalle!$G$2:$G$31,"Sí")</f>
        <v/>
      </c>
      <c r="H5" s="11" t="inlineStr">
        <is>
          <t>Sin convenio</t>
        </is>
      </c>
      <c r="I5" s="11" t="inlineStr"/>
      <c r="J5" s="11" t="inlineStr"/>
      <c r="K5" s="13">
        <f>IF(I5="","",IFERROR(INDEX('Convenios relacionados'!$F:$F,MATCH(I5,'Convenios relacionados'!$A:$A,0)),""))</f>
        <v/>
      </c>
      <c r="L5" s="11" t="inlineStr">
        <is>
          <t>No hay convenio con el Departamento de Cundinamarca / Secretaría de Minas, Energía y Gas. (C-2025-9 es con la Agencia Catastral de Cundinamarca, otra entidad.)</t>
        </is>
      </c>
      <c r="M5" s="11" t="inlineStr">
        <is>
          <t>Contratar servidos técnicos, administrativos, financieros y jurídicos para la actualización del Plan de Desarrollo Minero - Energético de Cundinamarca (2019-2036).</t>
        </is>
      </c>
    </row>
    <row r="6">
      <c r="A6" s="11" t="inlineStr">
        <is>
          <t>P05</t>
        </is>
      </c>
      <c r="B6" s="11" t="inlineStr">
        <is>
          <t>2020</t>
        </is>
      </c>
      <c r="C6" s="11" t="inlineStr">
        <is>
          <t>92</t>
        </is>
      </c>
      <c r="D6" s="11" t="inlineStr">
        <is>
          <t>CONVENIO ESPECIFICO DE COOPERACIÓN INTERINSTITUCIONAL NO. 092 DE 2020, SUSCRITO ENTRE LA REGIÓN ADMINISTRATIVA Y DE PLANEACIÓN ESPECIAL REGIÓN CENTRAL RAP-E Y LA UNIVERSIDAD DISTRITAL FRANCISCO JOSÉ DE CALDAS</t>
        </is>
      </c>
      <c r="E6" s="11" t="inlineStr">
        <is>
          <t>REGIÓN ADMINISTRATIVA Y DE PLANEACION ESPECIAL — RAPE</t>
        </is>
      </c>
      <c r="F6" s="12">
        <f>COUNTIF(Detalle!$B$2:$B$31,A6)</f>
        <v/>
      </c>
      <c r="G6" s="12">
        <f>COUNTIFS(Detalle!$B$2:$B$31,A6,Detalle!$G$2:$G$31,"Sí")</f>
        <v/>
      </c>
      <c r="H6" s="11" t="inlineStr">
        <is>
          <t>Sin convenio</t>
        </is>
      </c>
      <c r="I6" s="11" t="inlineStr"/>
      <c r="J6" s="11" t="inlineStr"/>
      <c r="K6" s="13">
        <f>IF(I6="","",IFERROR(INDEX('Convenios relacionados'!$F:$F,MATCH(I6,'Convenios relacionados'!$A:$A,0)),""))</f>
        <v/>
      </c>
      <c r="L6" s="11" t="inlineStr">
        <is>
          <t>No hay convenio con la RAPE Región Central.</t>
        </is>
      </c>
      <c r="M6" s="11" t="inlineStr">
        <is>
          <t>El objetivo general anterior era “Proponer una metodología para la gestión de la información asociada a las infraestructuras logísticas de la Región Central, diseñar la Red de Infraestructura Logística Regional (REDILE) y brindar asesoría técnica y científica para la conformación de una red de investigación en cadenas de suministro en la Región Central”.</t>
        </is>
      </c>
    </row>
    <row r="7">
      <c r="A7" s="11" t="inlineStr">
        <is>
          <t>P06</t>
        </is>
      </c>
      <c r="B7" s="11" t="inlineStr">
        <is>
          <t>2021</t>
        </is>
      </c>
      <c r="C7" s="11" t="inlineStr">
        <is>
          <t>010-2021</t>
        </is>
      </c>
      <c r="D7" s="11" t="inlineStr">
        <is>
          <t>INTERVENTORIA AL PROYECTO TRANSFERENCIA DE TECNOLOGIA Y CONOCIMIENTO PARA LA PRODUCCIÓN DE CARNE DE PESCADO Y ESPECIES VEGETALES QUE MITIGUEN LA INSEGURIDAD ALIMENTARIA DE PEQUEÑOS PRODUCTORES AGROPECUARIOS EN LAS TRES SUBREGIONES DEL DEPARTAMENTO DE LA GUAJIRA.</t>
        </is>
      </c>
      <c r="E7" s="11" t="inlineStr">
        <is>
          <t>GOBERNACIÓN DE LA GUAJIRA</t>
        </is>
      </c>
      <c r="F7" s="12">
        <f>COUNTIF(Detalle!$B$2:$B$31,A7)</f>
        <v/>
      </c>
      <c r="G7" s="12">
        <f>COUNTIFS(Detalle!$B$2:$B$31,A7,Detalle!$G$2:$G$31,"Sí")</f>
        <v/>
      </c>
      <c r="H7" s="11" t="inlineStr">
        <is>
          <t>Sin convenio</t>
        </is>
      </c>
      <c r="I7" s="11" t="inlineStr"/>
      <c r="J7" s="11" t="inlineStr"/>
      <c r="K7" s="13">
        <f>IF(I7="","",IFERROR(INDEX('Convenios relacionados'!$F:$F,MATCH(I7,'Convenios relacionados'!$A:$A,0)),""))</f>
        <v/>
      </c>
      <c r="L7" s="11" t="inlineStr">
        <is>
          <t>No hay convenio con la Gobernación de La Guajira. (C-2012-35 y C-2014-3 son con la Universidad de La Guajira, otra entidad.)</t>
        </is>
      </c>
      <c r="M7" s="11" t="inlineStr">
        <is>
          <t>Contratar la interventoría al proceso constructivo del proyecto denominado "Implementación de un Centro de Innovación y Productividad con énfasis en energías renovables para el Departamento de La Guajira" código BPIN 2022000100057.</t>
        </is>
      </c>
    </row>
    <row r="8">
      <c r="A8" s="11" t="inlineStr">
        <is>
          <t>P07</t>
        </is>
      </c>
      <c r="B8" s="11" t="inlineStr">
        <is>
          <t>2021</t>
        </is>
      </c>
      <c r="C8" s="11" t="inlineStr">
        <is>
          <t>71</t>
        </is>
      </c>
      <c r="D8" s="11" t="inlineStr">
        <is>
          <t>DISEÑO E IMPLEMENTACIÓN DE UNA EVALUACIÓN EXTERNA Y ANÁLISIS DE VULNERABILIDADES DEL SISTEMA DE INFORMACIÓN DEL ABASTECIMIENTO ALIMENTARIO DE LA REGIÓN CENTRAL</t>
        </is>
      </c>
      <c r="E8" s="11" t="inlineStr">
        <is>
          <t>REGIÓN ADMINISTRATIVA Y DE PLANEACION ESPECIAL — RAPE</t>
        </is>
      </c>
      <c r="F8" s="12">
        <f>COUNTIF(Detalle!$B$2:$B$31,A8)</f>
        <v/>
      </c>
      <c r="G8" s="12">
        <f>COUNTIFS(Detalle!$B$2:$B$31,A8,Detalle!$G$2:$G$31,"Sí")</f>
        <v/>
      </c>
      <c r="H8" s="11" t="inlineStr">
        <is>
          <t>Sin convenio</t>
        </is>
      </c>
      <c r="I8" s="11" t="inlineStr"/>
      <c r="J8" s="11" t="inlineStr"/>
      <c r="K8" s="13">
        <f>IF(I8="","",IFERROR(INDEX('Convenios relacionados'!$F:$F,MATCH(I8,'Convenios relacionados'!$A:$A,0)),""))</f>
        <v/>
      </c>
      <c r="L8" s="11" t="inlineStr">
        <is>
          <t>No hay convenio con la RAPE Región Central.</t>
        </is>
      </c>
      <c r="M8" s="11" t="inlineStr">
        <is>
          <t>Evaluación externa y análisis de vulnerabilidades del sistema de información del abastecimiento alimentario de la region central y apoyo al diseño y desarrollo de una aplicación móvil (app) del sistema de información del abastecimiento alimentario de la Region Central.</t>
        </is>
      </c>
    </row>
    <row r="9">
      <c r="A9" s="11" t="inlineStr">
        <is>
          <t>P08</t>
        </is>
      </c>
      <c r="B9" s="11" t="inlineStr">
        <is>
          <t>2022</t>
        </is>
      </c>
      <c r="C9" s="11" t="inlineStr">
        <is>
          <t>CONV-RE-SDED-028-202</t>
        </is>
      </c>
      <c r="D9" s="11" t="inlineStr">
        <is>
          <t>CONTRATO INTERADMINISTRATIVO NO. CONV-RE-SDED-028-2022, SUSCRITO ENTRE EL DEPARTAMENTO DE SUCRE Y LA UNIVERSIDAD DISTRITAL FRANCISCO JOSE DE CALDAS</t>
        </is>
      </c>
      <c r="E9" s="11" t="inlineStr">
        <is>
          <t>GOBERNACIÓN DE SUCRE</t>
        </is>
      </c>
      <c r="F9" s="12">
        <f>COUNTIF(Detalle!$B$2:$B$31,A9)</f>
        <v/>
      </c>
      <c r="G9" s="12">
        <f>COUNTIFS(Detalle!$B$2:$B$31,A9,Detalle!$G$2:$G$31,"Sí")</f>
        <v/>
      </c>
      <c r="H9" s="11" t="inlineStr">
        <is>
          <t>Sin convenio</t>
        </is>
      </c>
      <c r="I9" s="11" t="inlineStr"/>
      <c r="J9" s="11" t="inlineStr"/>
      <c r="K9" s="13">
        <f>IF(I9="","",IFERROR(INDEX('Convenios relacionados'!$F:$F,MATCH(I9,'Convenios relacionados'!$A:$A,0)),""))</f>
        <v/>
      </c>
      <c r="L9" s="11" t="inlineStr">
        <is>
          <t>No hay convenio con la Gobernación de Sucre. (C-2021-63 es con la Universidad de Sucre, otra entidad.)</t>
        </is>
      </c>
      <c r="M9" s="11" t="inlineStr">
        <is>
          <t>Interventoría técnica, administrativa, financiera y jurídica de los siguientes convenios especiales de cooperación: CONV-RE-SDED-004-2022 (Fortalecimiento establecimientos educativos jornada única), CONV-RE-SDED-005-2022 (Incremento innovación y desarrollo tecnológico tejido empresarial) y CONV-RE-SDED-006-2022 (Fortalecimiento capacidades en CTeI para desarrollo productivo e industrias creativas).</t>
        </is>
      </c>
    </row>
    <row r="10">
      <c r="A10" s="11" t="inlineStr">
        <is>
          <t>P09</t>
        </is>
      </c>
      <c r="B10" s="11" t="inlineStr">
        <is>
          <t>2022</t>
        </is>
      </c>
      <c r="C10" s="11" t="inlineStr"/>
      <c r="D10" s="11" t="inlineStr">
        <is>
          <t>CLAUSULADO GENERAL CONVENIO UNIVERSIDAD DISTRITAL FRANCISCO JOSE DE CALDAS ATENEA-290-2022</t>
        </is>
      </c>
      <c r="E10" s="11" t="inlineStr">
        <is>
          <t>AGENCIA DISTRITAL PARA LA EDUCACIÓN SUPERIOR, LA CIENCIA Y LA TECNOLOGÍA - ATENEA</t>
        </is>
      </c>
      <c r="F10" s="12">
        <f>COUNTIF(Detalle!$B$2:$B$31,A10)</f>
        <v/>
      </c>
      <c r="G10" s="12">
        <f>COUNTIFS(Detalle!$B$2:$B$31,A10,Detalle!$G$2:$G$31,"Sí")</f>
        <v/>
      </c>
      <c r="H10" s="11" t="inlineStr">
        <is>
          <t>Sin convenio</t>
        </is>
      </c>
      <c r="I10" s="11" t="inlineStr"/>
      <c r="J10" s="11" t="inlineStr"/>
      <c r="K10" s="13">
        <f>IF(I10="","",IFERROR(INDEX('Convenios relacionados'!$F:$F,MATCH(I10,'Convenios relacionados'!$A:$A,0)),""))</f>
        <v/>
      </c>
      <c r="L10" s="11" t="inlineStr">
        <is>
          <t>No hay convenio con la Agencia ATENEA.</t>
        </is>
      </c>
      <c r="M10" s="11" t="inlineStr">
        <is>
          <t>Aunar esfuerzos técnicos, administrativos, financieros, académicos y operativos entre la Agencia Distrital para la Educación Superior, la Ciencia y la Tecnología – ATENEA y la Universidad Distrital Francisco José De Caldas, para la implementación de los componentes de Tecnologías de la Información y Habilidades Socioemocionales del programa de formación en competencias del siglo XXI en Bogotá D.C.</t>
        </is>
      </c>
    </row>
    <row r="11">
      <c r="A11" s="11" t="inlineStr">
        <is>
          <t>P10</t>
        </is>
      </c>
      <c r="B11" s="11" t="inlineStr">
        <is>
          <t>2025</t>
        </is>
      </c>
      <c r="C11" s="11" t="inlineStr"/>
      <c r="D11" s="11" t="inlineStr">
        <is>
          <t>CONVENIO INTERADMINISTRATIVO NO. 362 DE 2025 SUSCRITO ENTRE EL ARCHIVO GENERAL DE LA NACIÓN Y LA UNIVERSIDAD DISTRITAL FRANCISCO JOSÉ DE CALDAS</t>
        </is>
      </c>
      <c r="E11" s="11" t="inlineStr">
        <is>
          <t>ARCHIVO GENERAL DE LA NACIÓN - AGN</t>
        </is>
      </c>
      <c r="F11" s="12">
        <f>COUNTIF(Detalle!$B$2:$B$31,A11)</f>
        <v/>
      </c>
      <c r="G11" s="12">
        <f>COUNTIFS(Detalle!$B$2:$B$31,A11,Detalle!$G$2:$G$31,"Sí")</f>
        <v/>
      </c>
      <c r="H11" s="11" t="inlineStr">
        <is>
          <t>Sin convenio</t>
        </is>
      </c>
      <c r="I11" s="11" t="inlineStr"/>
      <c r="J11" s="11" t="inlineStr"/>
      <c r="K11" s="13">
        <f>IF(I11="","",IFERROR(INDEX('Convenios relacionados'!$F:$F,MATCH(I11,'Convenios relacionados'!$A:$A,0)),""))</f>
        <v/>
      </c>
      <c r="L11" s="11" t="inlineStr">
        <is>
          <t>No hay convenio con el Archivo General de la Nación.</t>
        </is>
      </c>
      <c r="M11" s="11" t="inlineStr">
        <is>
          <t>nan</t>
        </is>
      </c>
    </row>
    <row r="12">
      <c r="A12" s="11" t="inlineStr">
        <is>
          <t>P11</t>
        </is>
      </c>
      <c r="B12" s="11" t="inlineStr">
        <is>
          <t>2025</t>
        </is>
      </c>
      <c r="C12" s="11" t="inlineStr">
        <is>
          <t>250366</t>
        </is>
      </c>
      <c r="D12" s="11" t="inlineStr">
        <is>
          <t>CONVENIO INTERADMINISTRATIVO 250366 SUSCRITO ENTRE LA SECRETARÍA DISTRITAL DE HACIENDA Y LA UNIVERSIDAD DISTRITAL FRANCISCO JOSÉ DE CALDAS</t>
        </is>
      </c>
      <c r="E12" s="11" t="inlineStr">
        <is>
          <t>SECRETARIA DISTRITAL DE HACIENDA</t>
        </is>
      </c>
      <c r="F12" s="12">
        <f>COUNTIF(Detalle!$B$2:$B$31,A12)</f>
        <v/>
      </c>
      <c r="G12" s="12">
        <f>COUNTIFS(Detalle!$B$2:$B$31,A12,Detalle!$G$2:$G$31,"Sí")</f>
        <v/>
      </c>
      <c r="H12" s="11" t="inlineStr">
        <is>
          <t>Sin convenio</t>
        </is>
      </c>
      <c r="I12" s="11" t="inlineStr"/>
      <c r="J12" s="11" t="inlineStr"/>
      <c r="K12" s="13">
        <f>IF(I12="","",IFERROR(INDEX('Convenios relacionados'!$F:$F,MATCH(I12,'Convenios relacionados'!$A:$A,0)),""))</f>
        <v/>
      </c>
      <c r="L12" s="11" t="inlineStr">
        <is>
          <t>No hay convenio con la Secretaría Distrital de Hacienda.</t>
        </is>
      </c>
      <c r="M12" s="11" t="inlineStr">
        <is>
          <t>Aunar esfuerzos para la asistencia técnica y apoyo a la gestión documental de la Secretaría Distrital de Hacienda.</t>
        </is>
      </c>
    </row>
    <row r="13">
      <c r="A13" s="11" t="inlineStr">
        <is>
          <t>P12</t>
        </is>
      </c>
      <c r="B13" s="11" t="inlineStr">
        <is>
          <t>2025</t>
        </is>
      </c>
      <c r="C13" s="11" t="inlineStr">
        <is>
          <t>CO1.PCCNTR.7685385</t>
        </is>
      </c>
      <c r="D13" s="11" t="inlineStr">
        <is>
          <t>CONTRATO NÚMERO CO1.PCCNTR.7685385 DE 2025 SUSCRITO ENTRE EL MINISTERIO DE EDUCACIÓN NACIONAL Y LA UNIVERSIDAD DISTRITAL FRANCISCO JOSE DE CALDAS</t>
        </is>
      </c>
      <c r="E13" s="11" t="inlineStr">
        <is>
          <t>MINISTERIO DE EDUCACION NACIONAL - MEN</t>
        </is>
      </c>
      <c r="F13" s="12">
        <f>COUNTIF(Detalle!$B$2:$B$31,A13)</f>
        <v/>
      </c>
      <c r="G13" s="12">
        <f>COUNTIFS(Detalle!$B$2:$B$31,A13,Detalle!$G$2:$G$31,"Sí")</f>
        <v/>
      </c>
      <c r="H13" s="11" t="inlineStr">
        <is>
          <t>Sin convenio</t>
        </is>
      </c>
      <c r="I13" s="11" t="inlineStr"/>
      <c r="J13" s="11" t="inlineStr"/>
      <c r="K13" s="13">
        <f>IF(I13="","",IFERROR(INDEX('Convenios relacionados'!$F:$F,MATCH(I13,'Convenios relacionados'!$A:$A,0)),""))</f>
        <v/>
      </c>
      <c r="L13" s="11" t="inlineStr">
        <is>
          <t>No hay convenio con el Ministerio de Educación Nacional. (C-2023-19 solo menciona al MEN como ente que otorga el registro calificado; es con la Fundación UNIR.)</t>
        </is>
      </c>
      <c r="M13" s="11" t="inlineStr">
        <is>
          <t>Prestación de servicios para apoyar la supervisión técnica, administrativa, financiera y jurídica de los contratos que se ejecuten para la operación global de los servicios TIC del Ministerio de Educación Nacional y fábrica de software.</t>
        </is>
      </c>
    </row>
    <row r="14">
      <c r="A14" s="11" t="inlineStr">
        <is>
          <t>P13</t>
        </is>
      </c>
      <c r="B14" s="11" t="inlineStr">
        <is>
          <t>2025</t>
        </is>
      </c>
      <c r="C14" s="11" t="inlineStr">
        <is>
          <t>CD-CI-67-2025</t>
        </is>
      </c>
      <c r="D14" s="11" t="inlineStr">
        <is>
          <t>CONDICIONES GENERALES CONVENIO INTERADMINISTRATIVO NO. CD-CI-67-2025 SUSCRITO ENTRE UNIVERSIDAD DISTRITAL FRANCISCO JOSÉ DE CALDAS Y EL INSTITUO IDEXUD IDENTIFICADO CON NIT NO 899999230-7 REPRESENTADO POR CESAR ANDREY PERDOMO CHARRY, DIRECTOR DE LA OFICINA DE EXTENSIÓN IDEXUD Y LA REGIÓN ADMINISTRATIVA Y DE PLANEACIÓN ESPECIAL RAP-E REGIÓN CENTRAL.</t>
        </is>
      </c>
      <c r="E14" s="11" t="inlineStr">
        <is>
          <t>REGIÓN ADMINISTRATIVA Y DE PLANEACION ESPECIAL — RAPE</t>
        </is>
      </c>
      <c r="F14" s="12">
        <f>COUNTIF(Detalle!$B$2:$B$31,A14)</f>
        <v/>
      </c>
      <c r="G14" s="12">
        <f>COUNTIFS(Detalle!$B$2:$B$31,A14,Detalle!$G$2:$G$31,"Sí")</f>
        <v/>
      </c>
      <c r="H14" s="11" t="inlineStr">
        <is>
          <t>Sin convenio</t>
        </is>
      </c>
      <c r="I14" s="11" t="inlineStr"/>
      <c r="J14" s="11" t="inlineStr"/>
      <c r="K14" s="13">
        <f>IF(I14="","",IFERROR(INDEX('Convenios relacionados'!$F:$F,MATCH(I14,'Convenios relacionados'!$A:$A,0)),""))</f>
        <v/>
      </c>
      <c r="L14" s="11" t="inlineStr">
        <is>
          <t>No hay convenio con la RAPE Región Central.</t>
        </is>
      </c>
      <c r="M14" s="11" t="inlineStr">
        <is>
          <t>Aunar esfuerzos físicos, técnicos, administrativos y financieros para fortalecer las capacidades logísticas del territorio y la proyección, promoción y transferencia de conocimiento de cuatro (4) Corredores Logísticos Regionales - CLR en los departamentos asociados a la RAP-E Región Central.</t>
        </is>
      </c>
    </row>
    <row r="15">
      <c r="A15" s="11" t="inlineStr">
        <is>
          <t>P14</t>
        </is>
      </c>
      <c r="B15" s="11" t="inlineStr">
        <is>
          <t>2019-2025</t>
        </is>
      </c>
      <c r="C15" s="11" t="inlineStr">
        <is>
          <t>Workshop on Engineering Applications</t>
        </is>
      </c>
      <c r="D15" s="11" t="inlineStr">
        <is>
          <t>DOCENTES QUE HAN PARTICIPADO EN CALIDAD DE AUTORES PONENTES SUPERVISORES U ORGANIZADORES</t>
        </is>
      </c>
      <c r="E15" s="11" t="inlineStr">
        <is>
          <t>UNIVERSIDAD DISTRITAL FRANCISCO JOSÉ DE CALDAS</t>
        </is>
      </c>
      <c r="F15" s="12">
        <f>COUNTIF(Detalle!$B$2:$B$31,A15)</f>
        <v/>
      </c>
      <c r="G15" s="12">
        <f>COUNTIFS(Detalle!$B$2:$B$31,A15,Detalle!$G$2:$G$31,"Sí")</f>
        <v/>
      </c>
      <c r="H15" s="11" t="inlineStr">
        <is>
          <t>No aplica</t>
        </is>
      </c>
      <c r="I15" s="11" t="inlineStr"/>
      <c r="J15" s="11" t="inlineStr"/>
      <c r="K15" s="13">
        <f>IF(I15="","",IFERROR(INDEX('Convenios relacionados'!$F:$F,MATCH(I15,'Convenios relacionados'!$A:$A,0)),""))</f>
        <v/>
      </c>
      <c r="L15" s="11" t="inlineStr">
        <is>
          <t>Evento académico organizado por la Universidad Distrital (WEA); no requiere convenio.</t>
        </is>
      </c>
      <c r="M15" s="11" t="inlineStr">
        <is>
          <t>Realizar el Congreso Internacional "Workshop on Engineering Applications (WEA 2022) Artificial intelligence, Optimization and Simulation" organizado por la Facultad de Ingeniería de la Universidad Distrital, como un espacio de divulgación de resultados de investigación tanto de estudiantes como de Profesores.</t>
        </is>
      </c>
    </row>
  </sheetData>
  <autoFilter ref="A1:M15"/>
  <conditionalFormatting sqref="H2:H15">
    <cfRule type="cellIs" priority="1" operator="equal" dxfId="0">
      <formula>"Sí"</formula>
    </cfRule>
    <cfRule type="cellIs" priority="2" operator="equal" dxfId="1">
      <formula>"No"</formula>
    </cfRule>
    <cfRule type="cellIs" priority="3" operator="equal" dxfId="1">
      <formula>"Sin convenio"</formula>
    </cfRule>
    <cfRule type="cellIs" priority="4" operator="equal" dxfId="2">
      <formula>"Relacionado (sector)"</formula>
    </cfRule>
    <cfRule type="cellIs" priority="5" operator="equal" dxfId="3">
      <formula>"No aplica"</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0" customWidth="1" min="3" max="3"/>
    <col width="20" customWidth="1" min="4" max="4"/>
    <col width="60" customWidth="1" min="5" max="5"/>
    <col width="38" customWidth="1" min="6" max="6"/>
    <col width="13" customWidth="1" min="7" max="7"/>
    <col width="20" customWidth="1" min="8" max="8"/>
  </cols>
  <sheetData>
    <row r="1">
      <c r="A1" s="10" t="inlineStr">
        <is>
          <t>Docente</t>
        </is>
      </c>
      <c r="B1" s="10" t="inlineStr">
        <is>
          <t>ID proyecto</t>
        </is>
      </c>
      <c r="C1" s="10" t="inlineStr">
        <is>
          <t>Año</t>
        </is>
      </c>
      <c r="D1" s="10" t="inlineStr">
        <is>
          <t>Código</t>
        </is>
      </c>
      <c r="E1" s="10" t="inlineStr">
        <is>
          <t>Proyecto / contrato</t>
        </is>
      </c>
      <c r="F1" s="10" t="inlineStr">
        <is>
          <t>Entidad contratante</t>
        </is>
      </c>
      <c r="G1" s="10" t="inlineStr">
        <is>
          <t>¿Profesor MCIC?</t>
        </is>
      </c>
      <c r="H1" s="10" t="inlineStr">
        <is>
          <t>Convenio URELINTER</t>
        </is>
      </c>
    </row>
    <row r="2">
      <c r="A2" s="11" t="inlineStr">
        <is>
          <t>ADRIANA MARCELA VEGA ESCOBAR</t>
        </is>
      </c>
      <c r="B2" s="11" t="inlineStr">
        <is>
          <t>P01</t>
        </is>
      </c>
      <c r="C2" s="11" t="inlineStr">
        <is>
          <t>2019</t>
        </is>
      </c>
      <c r="D2" s="11" t="inlineStr">
        <is>
          <t>UPME CV 002</t>
        </is>
      </c>
      <c r="E2" s="11" t="inlineStr">
        <is>
          <t>CONVENIO INTERADMINISTRATIVO DE ASOCIACION NO. UPME-CV-002 SUSCRITO ENTRE LA UNIDAD DE PLANEACION MINERO ENERGETICA-UPME; EL INSTITUTO DE PLANIFICACION Y PROMOCION DE SOLUCIONES ENERGETICAS PARA LAS ZONAS NO INTERCONECTADAS-IPSE Y LA UNIVERSIDAD DISTRITAL FRANCISCO JOSE DE CALDAS</t>
        </is>
      </c>
      <c r="F2" s="11" t="inlineStr">
        <is>
          <t>UNIDAD DE PLANEACION MINERO ENERGETICA-UPME</t>
        </is>
      </c>
      <c r="G2" s="11">
        <f>INDEX(Docentes!$E$2:$E$21,MATCH(A2,Docentes!$A$2:$A$21,0))</f>
        <v/>
      </c>
      <c r="H2" s="11">
        <f>INDEX('Proyectos x URELINTER'!$H$2:$H$15,MATCH(B2,'Proyectos x URELINTER'!$A$2:$A$15,0))</f>
        <v/>
      </c>
    </row>
    <row r="3">
      <c r="A3" s="11" t="inlineStr">
        <is>
          <t>CESAR LEONARDO TRUJILLO RODRIGUEZ</t>
        </is>
      </c>
      <c r="B3" s="11" t="inlineStr">
        <is>
          <t>P01</t>
        </is>
      </c>
      <c r="C3" s="11" t="inlineStr">
        <is>
          <t>2019</t>
        </is>
      </c>
      <c r="D3" s="11" t="inlineStr">
        <is>
          <t>UPME CV 002</t>
        </is>
      </c>
      <c r="E3" s="11" t="inlineStr">
        <is>
          <t>CONVENIO INTERADMINISTRATIVO DE ASOCIACION NO. UPME-CV-002 SUSCRITO ENTRE LA UNIDAD DE PLANEACION MINERO ENERGETICA-UPME; EL INSTITUTO DE PLANIFICACION Y PROMOCION DE SOLUCIONES ENERGETICAS PARA LAS ZONAS NO INTERCONECTADAS-IPSE Y LA UNIVERSIDAD DISTRITAL FRANCISCO JOSE DE CALDAS</t>
        </is>
      </c>
      <c r="F3" s="11" t="inlineStr">
        <is>
          <t>UNIDAD DE PLANEACION MINERO ENERGETICA-UPME</t>
        </is>
      </c>
      <c r="G3" s="11">
        <f>INDEX(Docentes!$E$2:$E$21,MATCH(A3,Docentes!$A$2:$A$21,0))</f>
        <v/>
      </c>
      <c r="H3" s="11">
        <f>INDEX('Proyectos x URELINTER'!$H$2:$H$15,MATCH(B3,'Proyectos x URELINTER'!$A$2:$A$15,0))</f>
        <v/>
      </c>
    </row>
    <row r="4">
      <c r="A4" s="11" t="inlineStr">
        <is>
          <t>ERNESTO GOMEZ VARGAS</t>
        </is>
      </c>
      <c r="B4" s="11" t="inlineStr">
        <is>
          <t>P01</t>
        </is>
      </c>
      <c r="C4" s="11" t="inlineStr">
        <is>
          <t>2019</t>
        </is>
      </c>
      <c r="D4" s="11" t="inlineStr">
        <is>
          <t>UPME CV 002</t>
        </is>
      </c>
      <c r="E4" s="11" t="inlineStr">
        <is>
          <t>CONVENIO INTERADMINISTRATIVO DE ASOCIACION NO. UPME-CV-002 SUSCRITO ENTRE LA UNIDAD DE PLANEACION MINERO ENERGETICA-UPME; EL INSTITUTO DE PLANIFICACION Y PROMOCION DE SOLUCIONES ENERGETICAS PARA LAS ZONAS NO INTERCONECTADAS-IPSE Y LA UNIVERSIDAD DISTRITAL FRANCISCO JOSE DE CALDAS</t>
        </is>
      </c>
      <c r="F4" s="11" t="inlineStr">
        <is>
          <t>UNIDAD DE PLANEACION MINERO ENERGETICA-UPME</t>
        </is>
      </c>
      <c r="G4" s="11">
        <f>INDEX(Docentes!$E$2:$E$21,MATCH(A4,Docentes!$A$2:$A$21,0))</f>
        <v/>
      </c>
      <c r="H4" s="11">
        <f>INDEX('Proyectos x URELINTER'!$H$2:$H$15,MATCH(B4,'Proyectos x URELINTER'!$A$2:$A$15,0))</f>
        <v/>
      </c>
    </row>
    <row r="5">
      <c r="A5" s="11" t="inlineStr">
        <is>
          <t>FRANCISCO SANTAMARIA PIEDRAHITA</t>
        </is>
      </c>
      <c r="B5" s="11" t="inlineStr">
        <is>
          <t>P01</t>
        </is>
      </c>
      <c r="C5" s="11" t="inlineStr">
        <is>
          <t>2019</t>
        </is>
      </c>
      <c r="D5" s="11" t="inlineStr">
        <is>
          <t>UPME CV 002</t>
        </is>
      </c>
      <c r="E5" s="11" t="inlineStr">
        <is>
          <t>CONVENIO INTERADMINISTRATIVO DE ASOCIACION NO. UPME-CV-002 SUSCRITO ENTRE LA UNIDAD DE PLANEACION MINERO ENERGETICA-UPME; EL INSTITUTO DE PLANIFICACION Y PROMOCION DE SOLUCIONES ENERGETICAS PARA LAS ZONAS NO INTERCONECTADAS-IPSE Y LA UNIVERSIDAD DISTRITAL FRANCISCO JOSE DE CALDAS</t>
        </is>
      </c>
      <c r="F5" s="11" t="inlineStr">
        <is>
          <t>UNIDAD DE PLANEACION MINERO ENERGETICA-UPME</t>
        </is>
      </c>
      <c r="G5" s="11">
        <f>INDEX(Docentes!$E$2:$E$21,MATCH(A5,Docentes!$A$2:$A$21,0))</f>
        <v/>
      </c>
      <c r="H5" s="11">
        <f>INDEX('Proyectos x URELINTER'!$H$2:$H$15,MATCH(B5,'Proyectos x URELINTER'!$A$2:$A$15,0))</f>
        <v/>
      </c>
    </row>
    <row r="6">
      <c r="A6" s="11" t="inlineStr">
        <is>
          <t>JOHAN ALEXANDER HERNANDEZ MORA</t>
        </is>
      </c>
      <c r="B6" s="11" t="inlineStr">
        <is>
          <t>P01</t>
        </is>
      </c>
      <c r="C6" s="11" t="inlineStr">
        <is>
          <t>2019</t>
        </is>
      </c>
      <c r="D6" s="11" t="inlineStr">
        <is>
          <t>UPME CV 002</t>
        </is>
      </c>
      <c r="E6" s="11" t="inlineStr">
        <is>
          <t>CONVENIO INTERADMINISTRATIVO DE ASOCIACION NO. UPME-CV-002 SUSCRITO ENTRE LA UNIDAD DE PLANEACION MINERO ENERGETICA-UPME; EL INSTITUTO DE PLANIFICACION Y PROMOCION DE SOLUCIONES ENERGETICAS PARA LAS ZONAS NO INTERCONECTADAS-IPSE Y LA UNIVERSIDAD DISTRITAL FRANCISCO JOSE DE CALDAS</t>
        </is>
      </c>
      <c r="F6" s="11" t="inlineStr">
        <is>
          <t>UNIDAD DE PLANEACION MINERO ENERGETICA-UPME</t>
        </is>
      </c>
      <c r="G6" s="11">
        <f>INDEX(Docentes!$E$2:$E$21,MATCH(A6,Docentes!$A$2:$A$21,0))</f>
        <v/>
      </c>
      <c r="H6" s="11">
        <f>INDEX('Proyectos x URELINTER'!$H$2:$H$15,MATCH(B6,'Proyectos x URELINTER'!$A$2:$A$15,0))</f>
        <v/>
      </c>
    </row>
    <row r="7">
      <c r="A7" s="11" t="inlineStr">
        <is>
          <t>LINDSAY ALVAREZ POMAR</t>
        </is>
      </c>
      <c r="B7" s="11" t="inlineStr">
        <is>
          <t>P01</t>
        </is>
      </c>
      <c r="C7" s="11" t="inlineStr">
        <is>
          <t>2019</t>
        </is>
      </c>
      <c r="D7" s="11" t="inlineStr">
        <is>
          <t>UPME CV 002</t>
        </is>
      </c>
      <c r="E7" s="11" t="inlineStr">
        <is>
          <t>CONVENIO INTERADMINISTRATIVO DE ASOCIACION NO. UPME-CV-002 SUSCRITO ENTRE LA UNIDAD DE PLANEACION MINERO ENERGETICA-UPME; EL INSTITUTO DE PLANIFICACION Y PROMOCION DE SOLUCIONES ENERGETICAS PARA LAS ZONAS NO INTERCONECTADAS-IPSE Y LA UNIVERSIDAD DISTRITAL FRANCISCO JOSE DE CALDAS</t>
        </is>
      </c>
      <c r="F7" s="11" t="inlineStr">
        <is>
          <t>UNIDAD DE PLANEACION MINERO ENERGETICA-UPME</t>
        </is>
      </c>
      <c r="G7" s="11">
        <f>INDEX(Docentes!$E$2:$E$21,MATCH(A7,Docentes!$A$2:$A$21,0))</f>
        <v/>
      </c>
      <c r="H7" s="11">
        <f>INDEX('Proyectos x URELINTER'!$H$2:$H$15,MATCH(B7,'Proyectos x URELINTER'!$A$2:$A$15,0))</f>
        <v/>
      </c>
    </row>
    <row r="8">
      <c r="A8" s="11" t="inlineStr">
        <is>
          <t>JOSE IGNACIO RODRIGUEZ MOLANO</t>
        </is>
      </c>
      <c r="B8" s="11" t="inlineStr">
        <is>
          <t>P02</t>
        </is>
      </c>
      <c r="C8" s="11" t="inlineStr">
        <is>
          <t>2019</t>
        </is>
      </c>
      <c r="D8" s="11" t="inlineStr">
        <is>
          <t>FAC-ING-6637</t>
        </is>
      </c>
      <c r="E8" s="11" t="inlineStr">
        <is>
          <t>PROGRAMA ACADEMICO DE GRADO ACUERDO 069-2019 II</t>
        </is>
      </c>
      <c r="F8" s="11" t="inlineStr">
        <is>
          <t>UNIVERSIDAD DISTRITAL FRANCISCO JOSÉ DE CALDAS</t>
        </is>
      </c>
      <c r="G8" s="11">
        <f>INDEX(Docentes!$E$2:$E$21,MATCH(A8,Docentes!$A$2:$A$21,0))</f>
        <v/>
      </c>
      <c r="H8" s="11">
        <f>INDEX('Proyectos x URELINTER'!$H$2:$H$15,MATCH(B8,'Proyectos x URELINTER'!$A$2:$A$15,0))</f>
        <v/>
      </c>
    </row>
    <row r="9">
      <c r="A9" s="11" t="inlineStr">
        <is>
          <t>EDUYN RAMIRO LOPEZ SANTANA</t>
        </is>
      </c>
      <c r="B9" s="11" t="inlineStr">
        <is>
          <t>P02</t>
        </is>
      </c>
      <c r="C9" s="11" t="inlineStr">
        <is>
          <t>2019</t>
        </is>
      </c>
      <c r="D9" s="11" t="inlineStr">
        <is>
          <t>FAC-ING-6637</t>
        </is>
      </c>
      <c r="E9" s="11" t="inlineStr">
        <is>
          <t>PROGRAMA ACADEMICO DE GRADO ACUERDO 069-2019 II</t>
        </is>
      </c>
      <c r="F9" s="11" t="inlineStr">
        <is>
          <t>UNIVERSIDAD DISTRITAL FRANCISCO JOSÉ DE CALDAS</t>
        </is>
      </c>
      <c r="G9" s="11">
        <f>INDEX(Docentes!$E$2:$E$21,MATCH(A9,Docentes!$A$2:$A$21,0))</f>
        <v/>
      </c>
      <c r="H9" s="11">
        <f>INDEX('Proyectos x URELINTER'!$H$2:$H$15,MATCH(B9,'Proyectos x URELINTER'!$A$2:$A$15,0))</f>
        <v/>
      </c>
    </row>
    <row r="10">
      <c r="A10" s="11" t="inlineStr">
        <is>
          <t>GERMAN ANDRES MENDEZ</t>
        </is>
      </c>
      <c r="B10" s="11" t="inlineStr">
        <is>
          <t>P02</t>
        </is>
      </c>
      <c r="C10" s="11" t="inlineStr">
        <is>
          <t>2019</t>
        </is>
      </c>
      <c r="D10" s="11" t="inlineStr">
        <is>
          <t>FAC-ING-6637</t>
        </is>
      </c>
      <c r="E10" s="11" t="inlineStr">
        <is>
          <t>PROGRAMA ACADEMICO DE GRADO ACUERDO 069-2019 II</t>
        </is>
      </c>
      <c r="F10" s="11" t="inlineStr">
        <is>
          <t>UNIVERSIDAD DISTRITAL FRANCISCO JOSÉ DE CALDAS</t>
        </is>
      </c>
      <c r="G10" s="11">
        <f>INDEX(Docentes!$E$2:$E$21,MATCH(A10,Docentes!$A$2:$A$21,0))</f>
        <v/>
      </c>
      <c r="H10" s="11">
        <f>INDEX('Proyectos x URELINTER'!$H$2:$H$15,MATCH(B10,'Proyectos x URELINTER'!$A$2:$A$15,0))</f>
        <v/>
      </c>
    </row>
    <row r="11">
      <c r="A11" s="11" t="inlineStr">
        <is>
          <t>CESAR ANDREY PERDOMO CHARRY</t>
        </is>
      </c>
      <c r="B11" s="11" t="inlineStr">
        <is>
          <t>P03</t>
        </is>
      </c>
      <c r="C11" s="11" t="inlineStr">
        <is>
          <t>2019</t>
        </is>
      </c>
      <c r="D11" s="11" t="inlineStr">
        <is>
          <t>FAC-ING-6532</t>
        </is>
      </c>
      <c r="E11" s="11" t="inlineStr">
        <is>
          <t>PROGRAMA ACADÉMICO DE GRADO ACUERDO 069 2019-1-FACULTAD INGENIERÍA</t>
        </is>
      </c>
      <c r="F11" s="11" t="inlineStr">
        <is>
          <t>UNIVERSIDAD DISTRITAL FRANCISCO JOSÉ DE CALDAS</t>
        </is>
      </c>
      <c r="G11" s="11">
        <f>INDEX(Docentes!$E$2:$E$21,MATCH(A11,Docentes!$A$2:$A$21,0))</f>
        <v/>
      </c>
      <c r="H11" s="11">
        <f>INDEX('Proyectos x URELINTER'!$H$2:$H$15,MATCH(B11,'Proyectos x URELINTER'!$A$2:$A$15,0))</f>
        <v/>
      </c>
    </row>
    <row r="12">
      <c r="A12" s="11" t="inlineStr">
        <is>
          <t>EDUYN RAMIRO LOPEZ SANTANA</t>
        </is>
      </c>
      <c r="B12" s="11" t="inlineStr">
        <is>
          <t>P03</t>
        </is>
      </c>
      <c r="C12" s="11" t="inlineStr">
        <is>
          <t>2019</t>
        </is>
      </c>
      <c r="D12" s="11" t="inlineStr">
        <is>
          <t>FAC-ING-6532</t>
        </is>
      </c>
      <c r="E12" s="11" t="inlineStr">
        <is>
          <t>PROGRAMA ACADÉMICO DE GRADO ACUERDO 069 2019-1-FACULTAD INGENIERÍA</t>
        </is>
      </c>
      <c r="F12" s="11" t="inlineStr">
        <is>
          <t>UNIVERSIDAD DISTRITAL FRANCISCO JOSÉ DE CALDAS</t>
        </is>
      </c>
      <c r="G12" s="11">
        <f>INDEX(Docentes!$E$2:$E$21,MATCH(A12,Docentes!$A$2:$A$21,0))</f>
        <v/>
      </c>
      <c r="H12" s="11">
        <f>INDEX('Proyectos x URELINTER'!$H$2:$H$15,MATCH(B12,'Proyectos x URELINTER'!$A$2:$A$15,0))</f>
        <v/>
      </c>
    </row>
    <row r="13">
      <c r="A13" s="11" t="inlineStr">
        <is>
          <t>ADRIANA MARCELA VEGA ESCOBAR</t>
        </is>
      </c>
      <c r="B13" s="11" t="inlineStr">
        <is>
          <t>P04</t>
        </is>
      </c>
      <c r="C13" s="11" t="inlineStr">
        <is>
          <t>2019</t>
        </is>
      </c>
      <c r="D13" s="11" t="inlineStr">
        <is>
          <t>SMEG-CDCTI-013</t>
        </is>
      </c>
      <c r="E13" s="11" t="inlineStr">
        <is>
          <t>CONTRATO INTERADMINISTRATIVO N SMEG-CDCTI-013-2019 SUSCRITO ENTRE EL DEPARTAMENTO DE CUNDINAMARCA- SECRETARIA DE MINAS, ENERGIA Y GAS NIT N 899999114-0 Y LA UNIVERSIDAD DISTRITAL FRANCISCO JOSE DE CALDAS IDENTIFICADO CON N DE NIT N 899999230-7</t>
        </is>
      </c>
      <c r="F13" s="11" t="inlineStr">
        <is>
          <t>DEPARTAMENTO DE CUNDINAMARCA - SECRETARÍA DE MINAS, ENERGÍA Y GAS</t>
        </is>
      </c>
      <c r="G13" s="11">
        <f>INDEX(Docentes!$E$2:$E$21,MATCH(A13,Docentes!$A$2:$A$21,0))</f>
        <v/>
      </c>
      <c r="H13" s="11">
        <f>INDEX('Proyectos x URELINTER'!$H$2:$H$15,MATCH(B13,'Proyectos x URELINTER'!$A$2:$A$15,0))</f>
        <v/>
      </c>
    </row>
    <row r="14">
      <c r="A14" s="11" t="inlineStr">
        <is>
          <t>EDWIN RIVAS TRUJILLO</t>
        </is>
      </c>
      <c r="B14" s="11" t="inlineStr">
        <is>
          <t>P04</t>
        </is>
      </c>
      <c r="C14" s="11" t="inlineStr">
        <is>
          <t>2019</t>
        </is>
      </c>
      <c r="D14" s="11" t="inlineStr">
        <is>
          <t>SMEG-CDCTI-013</t>
        </is>
      </c>
      <c r="E14" s="11" t="inlineStr">
        <is>
          <t>CONTRATO INTERADMINISTRATIVO N SMEG-CDCTI-013-2019 SUSCRITO ENTRE EL DEPARTAMENTO DE CUNDINAMARCA- SECRETARIA DE MINAS, ENERGIA Y GAS NIT N 899999114-0 Y LA UNIVERSIDAD DISTRITAL FRANCISCO JOSE DE CALDAS IDENTIFICADO CON N DE NIT N 899999230-7</t>
        </is>
      </c>
      <c r="F14" s="11" t="inlineStr">
        <is>
          <t>DEPARTAMENTO DE CUNDINAMARCA - SECRETARÍA DE MINAS, ENERGÍA Y GAS</t>
        </is>
      </c>
      <c r="G14" s="11">
        <f>INDEX(Docentes!$E$2:$E$21,MATCH(A14,Docentes!$A$2:$A$21,0))</f>
        <v/>
      </c>
      <c r="H14" s="11">
        <f>INDEX('Proyectos x URELINTER'!$H$2:$H$15,MATCH(B14,'Proyectos x URELINTER'!$A$2:$A$15,0))</f>
        <v/>
      </c>
    </row>
    <row r="15">
      <c r="A15" s="11" t="inlineStr">
        <is>
          <t>LINDSAY ALVAREZ POMAR</t>
        </is>
      </c>
      <c r="B15" s="11" t="inlineStr">
        <is>
          <t>P04</t>
        </is>
      </c>
      <c r="C15" s="11" t="inlineStr">
        <is>
          <t>2019</t>
        </is>
      </c>
      <c r="D15" s="11" t="inlineStr">
        <is>
          <t>SMEG-CDCTI-013</t>
        </is>
      </c>
      <c r="E15" s="11" t="inlineStr">
        <is>
          <t>CONTRATO INTERADMINISTRATIVO N SMEG-CDCTI-013-2019 SUSCRITO ENTRE EL DEPARTAMENTO DE CUNDINAMARCA- SECRETARIA DE MINAS, ENERGIA Y GAS NIT N 899999114-0 Y LA UNIVERSIDAD DISTRITAL FRANCISCO JOSE DE CALDAS IDENTIFICADO CON N DE NIT N 899999230-7</t>
        </is>
      </c>
      <c r="F15" s="11" t="inlineStr">
        <is>
          <t>DEPARTAMENTO DE CUNDINAMARCA - SECRETARÍA DE MINAS, ENERGÍA Y GAS</t>
        </is>
      </c>
      <c r="G15" s="11">
        <f>INDEX(Docentes!$E$2:$E$21,MATCH(A15,Docentes!$A$2:$A$21,0))</f>
        <v/>
      </c>
      <c r="H15" s="11">
        <f>INDEX('Proyectos x URELINTER'!$H$2:$H$15,MATCH(B15,'Proyectos x URELINTER'!$A$2:$A$15,0))</f>
        <v/>
      </c>
    </row>
    <row r="16">
      <c r="A16" s="11" t="inlineStr">
        <is>
          <t>JAVIER ARTURO ORJUELA CASTRO</t>
        </is>
      </c>
      <c r="B16" s="11" t="inlineStr">
        <is>
          <t>P05</t>
        </is>
      </c>
      <c r="C16" s="11" t="inlineStr">
        <is>
          <t>2020</t>
        </is>
      </c>
      <c r="D16" s="11" t="inlineStr">
        <is>
          <t>92</t>
        </is>
      </c>
      <c r="E16" s="11" t="inlineStr">
        <is>
          <t>CONVENIO ESPECIFICO DE COOPERACIÓN INTERINSTITUCIONAL NO. 092 DE 2020, SUSCRITO ENTRE LA REGIÓN ADMINISTRATIVA Y DE PLANEACIÓN ESPECIAL REGIÓN CENTRAL RAP-E Y LA UNIVERSIDAD DISTRITAL FRANCISCO JOSÉ DE CALDAS</t>
        </is>
      </c>
      <c r="F16" s="11" t="inlineStr">
        <is>
          <t>REGIÓN ADMINISTRATIVA Y DE PLANEACION ESPECIAL — RAPE</t>
        </is>
      </c>
      <c r="G16" s="11">
        <f>INDEX(Docentes!$E$2:$E$21,MATCH(A16,Docentes!$A$2:$A$21,0))</f>
        <v/>
      </c>
      <c r="H16" s="11">
        <f>INDEX('Proyectos x URELINTER'!$H$2:$H$15,MATCH(B16,'Proyectos x URELINTER'!$A$2:$A$15,0))</f>
        <v/>
      </c>
    </row>
    <row r="17">
      <c r="A17" s="11" t="inlineStr">
        <is>
          <t>OCTAVIO JOSE SALCEDO PARRA</t>
        </is>
      </c>
      <c r="B17" s="11" t="inlineStr">
        <is>
          <t>P06</t>
        </is>
      </c>
      <c r="C17" s="11" t="inlineStr">
        <is>
          <t>2021</t>
        </is>
      </c>
      <c r="D17" s="11" t="inlineStr">
        <is>
          <t>010-2021</t>
        </is>
      </c>
      <c r="E17" s="11" t="inlineStr">
        <is>
          <t>INTERVENTORIA AL PROYECTO TRANSFERENCIA DE TECNOLOGIA Y CONOCIMIENTO PARA LA PRODUCCIÓN DE CARNE DE PESCADO Y ESPECIES VEGETALES QUE MITIGUEN LA INSEGURIDAD ALIMENTARIA DE PEQUEÑOS PRODUCTORES AGROPECUARIOS EN LAS TRES SUBREGIONES DEL DEPARTAMENTO DE LA GUAJIRA.</t>
        </is>
      </c>
      <c r="F17" s="11" t="inlineStr">
        <is>
          <t>GOBERNACIÓN DE LA GUAJIRA</t>
        </is>
      </c>
      <c r="G17" s="11">
        <f>INDEX(Docentes!$E$2:$E$21,MATCH(A17,Docentes!$A$2:$A$21,0))</f>
        <v/>
      </c>
      <c r="H17" s="11">
        <f>INDEX('Proyectos x URELINTER'!$H$2:$H$15,MATCH(B17,'Proyectos x URELINTER'!$A$2:$A$15,0))</f>
        <v/>
      </c>
    </row>
    <row r="18">
      <c r="A18" s="11" t="inlineStr">
        <is>
          <t>JAVIER ARTURO ORJUELA CASTRO</t>
        </is>
      </c>
      <c r="B18" s="11" t="inlineStr">
        <is>
          <t>P07</t>
        </is>
      </c>
      <c r="C18" s="11" t="inlineStr">
        <is>
          <t>2021</t>
        </is>
      </c>
      <c r="D18" s="11" t="inlineStr">
        <is>
          <t>71</t>
        </is>
      </c>
      <c r="E18" s="11" t="inlineStr">
        <is>
          <t>DISEÑO E IMPLEMENTACIÓN DE UNA EVALUACIÓN EXTERNA Y ANÁLISIS DE VULNERABILIDADES DEL SISTEMA DE INFORMACIÓN DEL ABASTECIMIENTO ALIMENTARIO DE LA REGIÓN CENTRAL</t>
        </is>
      </c>
      <c r="F18" s="11" t="inlineStr">
        <is>
          <t>REGIÓN ADMINISTRATIVA Y DE PLANEACION ESPECIAL — RAPE</t>
        </is>
      </c>
      <c r="G18" s="11">
        <f>INDEX(Docentes!$E$2:$E$21,MATCH(A18,Docentes!$A$2:$A$21,0))</f>
        <v/>
      </c>
      <c r="H18" s="11">
        <f>INDEX('Proyectos x URELINTER'!$H$2:$H$15,MATCH(B18,'Proyectos x URELINTER'!$A$2:$A$15,0))</f>
        <v/>
      </c>
    </row>
    <row r="19">
      <c r="A19" s="11" t="inlineStr">
        <is>
          <t>OCTAVIO JOSE SALCEDO PARRA</t>
        </is>
      </c>
      <c r="B19" s="11" t="inlineStr">
        <is>
          <t>P08</t>
        </is>
      </c>
      <c r="C19" s="11" t="inlineStr">
        <is>
          <t>2022</t>
        </is>
      </c>
      <c r="D19" s="11" t="inlineStr">
        <is>
          <t>CONV-RE-SDED-028-202</t>
        </is>
      </c>
      <c r="E19" s="11" t="inlineStr">
        <is>
          <t>CONTRATO INTERADMINISTRATIVO NO. CONV-RE-SDED-028-2022, SUSCRITO ENTRE EL DEPARTAMENTO DE SUCRE Y LA UNIVERSIDAD DISTRITAL FRANCISCO JOSE DE CALDAS</t>
        </is>
      </c>
      <c r="F19" s="11" t="inlineStr">
        <is>
          <t>GOBERNACIÓN DE SUCRE</t>
        </is>
      </c>
      <c r="G19" s="11">
        <f>INDEX(Docentes!$E$2:$E$21,MATCH(A19,Docentes!$A$2:$A$21,0))</f>
        <v/>
      </c>
      <c r="H19" s="11">
        <f>INDEX('Proyectos x URELINTER'!$H$2:$H$15,MATCH(B19,'Proyectos x URELINTER'!$A$2:$A$15,0))</f>
        <v/>
      </c>
    </row>
    <row r="20">
      <c r="A20" s="11" t="inlineStr">
        <is>
          <t>CARLOS MONTENEGRO MARIN</t>
        </is>
      </c>
      <c r="B20" s="11" t="inlineStr">
        <is>
          <t>P09</t>
        </is>
      </c>
      <c r="C20" s="11" t="inlineStr">
        <is>
          <t>2022</t>
        </is>
      </c>
      <c r="D20" s="11" t="inlineStr"/>
      <c r="E20" s="11" t="inlineStr">
        <is>
          <t>CLAUSULADO GENERAL CONVENIO UNIVERSIDAD DISTRITAL FRANCISCO JOSE DE CALDAS ATENEA-290-2022</t>
        </is>
      </c>
      <c r="F20" s="11" t="inlineStr">
        <is>
          <t>AGENCIA DISTRITAL PARA LA EDUCACIÓN SUPERIOR, LA CIENCIA Y LA TECNOLOGÍA - ATENEA</t>
        </is>
      </c>
      <c r="G20" s="11">
        <f>INDEX(Docentes!$E$2:$E$21,MATCH(A20,Docentes!$A$2:$A$21,0))</f>
        <v/>
      </c>
      <c r="H20" s="11">
        <f>INDEX('Proyectos x URELINTER'!$H$2:$H$15,MATCH(B20,'Proyectos x URELINTER'!$A$2:$A$15,0))</f>
        <v/>
      </c>
    </row>
    <row r="21">
      <c r="A21" s="11" t="inlineStr">
        <is>
          <t>DARIN JAIRO MOSQUERA</t>
        </is>
      </c>
      <c r="B21" s="11" t="inlineStr">
        <is>
          <t>P10</t>
        </is>
      </c>
      <c r="C21" s="11" t="inlineStr">
        <is>
          <t>2025</t>
        </is>
      </c>
      <c r="D21" s="11" t="inlineStr"/>
      <c r="E21" s="11" t="inlineStr">
        <is>
          <t>CONVENIO INTERADMINISTRATIVO NO. 362 DE 2025 SUSCRITO ENTRE EL ARCHIVO GENERAL DE LA NACIÓN Y LA UNIVERSIDAD DISTRITAL FRANCISCO JOSÉ DE CALDAS</t>
        </is>
      </c>
      <c r="F21" s="11" t="inlineStr">
        <is>
          <t>ARCHIVO GENERAL DE LA NACIÓN - AGN</t>
        </is>
      </c>
      <c r="G21" s="11">
        <f>INDEX(Docentes!$E$2:$E$21,MATCH(A21,Docentes!$A$2:$A$21,0))</f>
        <v/>
      </c>
      <c r="H21" s="11">
        <f>INDEX('Proyectos x URELINTER'!$H$2:$H$15,MATCH(B21,'Proyectos x URELINTER'!$A$2:$A$15,0))</f>
        <v/>
      </c>
    </row>
    <row r="22">
      <c r="A22" s="11" t="inlineStr">
        <is>
          <t>LEONARDO EMIRO CONTRERAS BRAVO</t>
        </is>
      </c>
      <c r="B22" s="11" t="inlineStr">
        <is>
          <t>P11</t>
        </is>
      </c>
      <c r="C22" s="11" t="inlineStr">
        <is>
          <t>2025</t>
        </is>
      </c>
      <c r="D22" s="11" t="inlineStr">
        <is>
          <t>250366</t>
        </is>
      </c>
      <c r="E22" s="11" t="inlineStr">
        <is>
          <t>CONVENIO INTERADMINISTRATIVO 250366 SUSCRITO ENTRE LA SECRETARÍA DISTRITAL DE HACIENDA Y LA UNIVERSIDAD DISTRITAL FRANCISCO JOSÉ DE CALDAS</t>
        </is>
      </c>
      <c r="F22" s="11" t="inlineStr">
        <is>
          <t>SECRETARIA DISTRITAL DE HACIENDA</t>
        </is>
      </c>
      <c r="G22" s="11">
        <f>INDEX(Docentes!$E$2:$E$21,MATCH(A22,Docentes!$A$2:$A$21,0))</f>
        <v/>
      </c>
      <c r="H22" s="11">
        <f>INDEX('Proyectos x URELINTER'!$H$2:$H$15,MATCH(B22,'Proyectos x URELINTER'!$A$2:$A$15,0))</f>
        <v/>
      </c>
    </row>
    <row r="23">
      <c r="A23" s="11" t="inlineStr">
        <is>
          <t>LEONARDO EMIRO CONTRERAS BRAVO</t>
        </is>
      </c>
      <c r="B23" s="11" t="inlineStr">
        <is>
          <t>P12</t>
        </is>
      </c>
      <c r="C23" s="11" t="inlineStr">
        <is>
          <t>2025</t>
        </is>
      </c>
      <c r="D23" s="11" t="inlineStr">
        <is>
          <t>CO1.PCCNTR.7685385</t>
        </is>
      </c>
      <c r="E23" s="11" t="inlineStr">
        <is>
          <t>CONTRATO NÚMERO CO1.PCCNTR.7685385 DE 2025 SUSCRITO ENTRE EL MINISTERIO DE EDUCACIÓN NACIONAL Y LA UNIVERSIDAD DISTRITAL FRANCISCO JOSE DE CALDAS</t>
        </is>
      </c>
      <c r="F23" s="11" t="inlineStr">
        <is>
          <t>MINISTERIO DE EDUCACION NACIONAL - MEN</t>
        </is>
      </c>
      <c r="G23" s="11">
        <f>INDEX(Docentes!$E$2:$E$21,MATCH(A23,Docentes!$A$2:$A$21,0))</f>
        <v/>
      </c>
      <c r="H23" s="11">
        <f>INDEX('Proyectos x URELINTER'!$H$2:$H$15,MATCH(B23,'Proyectos x URELINTER'!$A$2:$A$15,0))</f>
        <v/>
      </c>
    </row>
    <row r="24">
      <c r="A24" s="11" t="inlineStr">
        <is>
          <t>JAVIER ARTURO ORJUELA CASTRO</t>
        </is>
      </c>
      <c r="B24" s="11" t="inlineStr">
        <is>
          <t>P13</t>
        </is>
      </c>
      <c r="C24" s="11" t="inlineStr">
        <is>
          <t>2025</t>
        </is>
      </c>
      <c r="D24" s="11" t="inlineStr">
        <is>
          <t>CD-CI-67-2025</t>
        </is>
      </c>
      <c r="E24" s="11" t="inlineStr">
        <is>
          <t>CONDICIONES GENERALES CONVENIO INTERADMINISTRATIVO NO. CD-CI-67-2025 SUSCRITO ENTRE UNIVERSIDAD DISTRITAL FRANCISCO JOSÉ DE CALDAS Y EL INSTITUO IDEXUD IDENTIFICADO CON NIT NO 899999230-7 REPRESENTADO POR CESAR ANDREY PERDOMO CHARRY, DIRECTOR DE LA OFICINA DE EXTENSIÓN IDEXUD Y LA REGIÓN ADMINISTRATIVA Y DE PLANEACIÓN ESPECIAL RAP-E REGIÓN CENTRAL.</t>
        </is>
      </c>
      <c r="F24" s="11" t="inlineStr">
        <is>
          <t>REGIÓN ADMINISTRATIVA Y DE PLANEACION ESPECIAL — RAPE</t>
        </is>
      </c>
      <c r="G24" s="11">
        <f>INDEX(Docentes!$E$2:$E$21,MATCH(A24,Docentes!$A$2:$A$21,0))</f>
        <v/>
      </c>
      <c r="H24" s="11">
        <f>INDEX('Proyectos x URELINTER'!$H$2:$H$15,MATCH(B24,'Proyectos x URELINTER'!$A$2:$A$15,0))</f>
        <v/>
      </c>
    </row>
    <row r="25">
      <c r="A25" s="11" t="inlineStr">
        <is>
          <t>FEIZAR ARTURO RUEDA</t>
        </is>
      </c>
      <c r="B25" s="11" t="inlineStr">
        <is>
          <t>P13</t>
        </is>
      </c>
      <c r="C25" s="11" t="inlineStr">
        <is>
          <t>2025</t>
        </is>
      </c>
      <c r="D25" s="11" t="inlineStr">
        <is>
          <t>CD-CI-67-2025</t>
        </is>
      </c>
      <c r="E25" s="11" t="inlineStr">
        <is>
          <t>CONDICIONES GENERALES CONVENIO INTERADMINISTRATIVO NO. CD-CI-67-2025 SUSCRITO ENTRE UNIVERSIDAD DISTRITAL FRANCISCO JOSÉ DE CALDAS Y EL INSTITUO IDEXUD IDENTIFICADO CON NIT NO 899999230-7 REPRESENTADO POR CESAR ANDREY PERDOMO CHARRY, DIRECTOR DE LA OFICINA DE EXTENSIÓN IDEXUD Y LA REGIÓN ADMINISTRATIVA Y DE PLANEACIÓN ESPECIAL RAP-E REGIÓN CENTRAL.</t>
        </is>
      </c>
      <c r="F25" s="11" t="inlineStr">
        <is>
          <t>REGIÓN ADMINISTRATIVA Y DE PLANEACION ESPECIAL — RAPE</t>
        </is>
      </c>
      <c r="G25" s="11">
        <f>INDEX(Docentes!$E$2:$E$21,MATCH(A25,Docentes!$A$2:$A$21,0))</f>
        <v/>
      </c>
      <c r="H25" s="11">
        <f>INDEX('Proyectos x URELINTER'!$H$2:$H$15,MATCH(B25,'Proyectos x URELINTER'!$A$2:$A$15,0))</f>
        <v/>
      </c>
    </row>
    <row r="26">
      <c r="A26" s="11" t="inlineStr">
        <is>
          <t>JUAN CARLOS FIGUEROA GARCIA</t>
        </is>
      </c>
      <c r="B26" s="11" t="inlineStr">
        <is>
          <t>P14</t>
        </is>
      </c>
      <c r="C26" s="11" t="inlineStr">
        <is>
          <t>2019-2025</t>
        </is>
      </c>
      <c r="D26" s="11" t="inlineStr">
        <is>
          <t>Workshop on Engineering Applications</t>
        </is>
      </c>
      <c r="E26" s="11" t="inlineStr">
        <is>
          <t>DOCENTES QUE HAN PARTICIPADO EN CALIDAD DE AUTORES PONENTES SUPERVISORES U ORGANIZADORES</t>
        </is>
      </c>
      <c r="F26" s="11" t="inlineStr">
        <is>
          <t>UNIVERSIDAD DISTRITAL FRANCISCO JOSÉ DE CALDAS</t>
        </is>
      </c>
      <c r="G26" s="11">
        <f>INDEX(Docentes!$E$2:$E$21,MATCH(A26,Docentes!$A$2:$A$21,0))</f>
        <v/>
      </c>
      <c r="H26" s="11">
        <f>INDEX('Proyectos x URELINTER'!$H$2:$H$15,MATCH(B26,'Proyectos x URELINTER'!$A$2:$A$15,0))</f>
        <v/>
      </c>
    </row>
    <row r="27">
      <c r="A27" s="11" t="inlineStr">
        <is>
          <t>ROBERTO FERRO ESCOBAR</t>
        </is>
      </c>
      <c r="B27" s="11" t="inlineStr">
        <is>
          <t>P14</t>
        </is>
      </c>
      <c r="C27" s="11" t="inlineStr">
        <is>
          <t>2019-2025</t>
        </is>
      </c>
      <c r="D27" s="11" t="inlineStr">
        <is>
          <t>Workshop on Engineering Applications</t>
        </is>
      </c>
      <c r="E27" s="11" t="inlineStr">
        <is>
          <t>DOCENTES QUE HAN PARTICIPADO EN CALIDAD DE AUTORES PONENTES SUPERVISORES U ORGANIZADORES</t>
        </is>
      </c>
      <c r="F27" s="11" t="inlineStr">
        <is>
          <t>UNIVERSIDAD DISTRITAL FRANCISCO JOSÉ DE CALDAS</t>
        </is>
      </c>
      <c r="G27" s="11">
        <f>INDEX(Docentes!$E$2:$E$21,MATCH(A27,Docentes!$A$2:$A$21,0))</f>
        <v/>
      </c>
      <c r="H27" s="11">
        <f>INDEX('Proyectos x URELINTER'!$H$2:$H$15,MATCH(B27,'Proyectos x URELINTER'!$A$2:$A$15,0))</f>
        <v/>
      </c>
    </row>
    <row r="28">
      <c r="A28" s="11" t="inlineStr">
        <is>
          <t>JAVIER ARTURO ORJUELA CASTRO</t>
        </is>
      </c>
      <c r="B28" s="11" t="inlineStr">
        <is>
          <t>P14</t>
        </is>
      </c>
      <c r="C28" s="11" t="inlineStr">
        <is>
          <t>2019-2025</t>
        </is>
      </c>
      <c r="D28" s="11" t="inlineStr">
        <is>
          <t>Workshop on Engineering Applications</t>
        </is>
      </c>
      <c r="E28" s="11" t="inlineStr">
        <is>
          <t>DOCENTES QUE HAN PARTICIPADO EN CALIDAD DE AUTORES PONENTES SUPERVISORES U ORGANIZADORES</t>
        </is>
      </c>
      <c r="F28" s="11" t="inlineStr">
        <is>
          <t>UNIVERSIDAD DISTRITAL FRANCISCO JOSÉ DE CALDAS</t>
        </is>
      </c>
      <c r="G28" s="11">
        <f>INDEX(Docentes!$E$2:$E$21,MATCH(A28,Docentes!$A$2:$A$21,0))</f>
        <v/>
      </c>
      <c r="H28" s="11">
        <f>INDEX('Proyectos x URELINTER'!$H$2:$H$15,MATCH(B28,'Proyectos x URELINTER'!$A$2:$A$15,0))</f>
        <v/>
      </c>
    </row>
    <row r="29">
      <c r="A29" s="11" t="inlineStr">
        <is>
          <t>EDUYN RAMIRO LOPEZ SANTANA</t>
        </is>
      </c>
      <c r="B29" s="11" t="inlineStr">
        <is>
          <t>P14</t>
        </is>
      </c>
      <c r="C29" s="11" t="inlineStr">
        <is>
          <t>2019-2025</t>
        </is>
      </c>
      <c r="D29" s="11" t="inlineStr">
        <is>
          <t>Workshop on Engineering Applications</t>
        </is>
      </c>
      <c r="E29" s="11" t="inlineStr">
        <is>
          <t>DOCENTES QUE HAN PARTICIPADO EN CALIDAD DE AUTORES PONENTES SUPERVISORES U ORGANIZADORES</t>
        </is>
      </c>
      <c r="F29" s="11" t="inlineStr">
        <is>
          <t>UNIVERSIDAD DISTRITAL FRANCISCO JOSÉ DE CALDAS</t>
        </is>
      </c>
      <c r="G29" s="11">
        <f>INDEX(Docentes!$E$2:$E$21,MATCH(A29,Docentes!$A$2:$A$21,0))</f>
        <v/>
      </c>
      <c r="H29" s="11">
        <f>INDEX('Proyectos x URELINTER'!$H$2:$H$15,MATCH(B29,'Proyectos x URELINTER'!$A$2:$A$15,0))</f>
        <v/>
      </c>
    </row>
    <row r="30">
      <c r="A30" s="11" t="inlineStr">
        <is>
          <t>VICTOR HUGO MEDINA GARCIA</t>
        </is>
      </c>
      <c r="B30" s="11" t="inlineStr">
        <is>
          <t>P14</t>
        </is>
      </c>
      <c r="C30" s="11" t="inlineStr">
        <is>
          <t>2019-2025</t>
        </is>
      </c>
      <c r="D30" s="11" t="inlineStr">
        <is>
          <t>Workshop on Engineering Applications</t>
        </is>
      </c>
      <c r="E30" s="11" t="inlineStr">
        <is>
          <t>DOCENTES QUE HAN PARTICIPADO EN CALIDAD DE AUTORES PONENTES SUPERVISORES U ORGANIZADORES</t>
        </is>
      </c>
      <c r="F30" s="11" t="inlineStr">
        <is>
          <t>UNIVERSIDAD DISTRITAL FRANCISCO JOSÉ DE CALDAS</t>
        </is>
      </c>
      <c r="G30" s="11">
        <f>INDEX(Docentes!$E$2:$E$21,MATCH(A30,Docentes!$A$2:$A$21,0))</f>
        <v/>
      </c>
      <c r="H30" s="11">
        <f>INDEX('Proyectos x URELINTER'!$H$2:$H$15,MATCH(B30,'Proyectos x URELINTER'!$A$2:$A$15,0))</f>
        <v/>
      </c>
    </row>
    <row r="31">
      <c r="A31" s="11" t="inlineStr">
        <is>
          <t>GERMAN ANDRES MENDEZ</t>
        </is>
      </c>
      <c r="B31" s="11" t="inlineStr">
        <is>
          <t>P14</t>
        </is>
      </c>
      <c r="C31" s="11" t="inlineStr">
        <is>
          <t>2019-2025</t>
        </is>
      </c>
      <c r="D31" s="11" t="inlineStr">
        <is>
          <t>Workshop on Engineering Applications</t>
        </is>
      </c>
      <c r="E31" s="11" t="inlineStr">
        <is>
          <t>DOCENTES QUE HAN PARTICIPADO EN CALIDAD DE AUTORES PONENTES SUPERVISORES U ORGANIZADORES</t>
        </is>
      </c>
      <c r="F31" s="11" t="inlineStr">
        <is>
          <t>UNIVERSIDAD DISTRITAL FRANCISCO JOSÉ DE CALDAS</t>
        </is>
      </c>
      <c r="G31" s="11">
        <f>INDEX(Docentes!$E$2:$E$21,MATCH(A31,Docentes!$A$2:$A$21,0))</f>
        <v/>
      </c>
      <c r="H31" s="11">
        <f>INDEX('Proyectos x URELINTER'!$H$2:$H$15,MATCH(B31,'Proyectos x URELINTER'!$A$2:$A$15,0))</f>
        <v/>
      </c>
    </row>
  </sheetData>
  <autoFilter ref="A1:H31"/>
  <conditionalFormatting sqref="G2:H31">
    <cfRule type="cellIs" priority="1" operator="equal" dxfId="0">
      <formula>"Sí"</formula>
    </cfRule>
    <cfRule type="cellIs" priority="2" operator="equal" dxfId="1">
      <formula>"No"</formula>
    </cfRule>
    <cfRule type="cellIs" priority="3" operator="equal" dxfId="1">
      <formula>"Sin convenio"</formula>
    </cfRule>
    <cfRule type="cellIs" priority="4" operator="equal" dxfId="2">
      <formula>"Relacionado (sector)"</formula>
    </cfRule>
    <cfRule type="cellIs" priority="5" operator="equal" dxfId="3">
      <formula>"No aplica"</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30" customWidth="1" min="4" max="4"/>
    <col width="12" customWidth="1" min="5" max="5"/>
    <col width="12" customWidth="1" min="6" max="6"/>
    <col width="10" customWidth="1" min="7" max="7"/>
    <col width="20" customWidth="1" min="8" max="8"/>
    <col width="18" customWidth="1" min="9" max="9"/>
    <col width="16" customWidth="1" min="10" max="10"/>
    <col width="80" customWidth="1" min="11" max="11"/>
  </cols>
  <sheetData>
    <row r="1">
      <c r="A1" s="10" t="inlineStr">
        <is>
          <t>Código</t>
        </is>
      </c>
      <c r="B1" s="10" t="inlineStr">
        <is>
          <t>Nivel</t>
        </is>
      </c>
      <c r="C1" s="10" t="inlineStr">
        <is>
          <t>País / Categoría</t>
        </is>
      </c>
      <c r="D1" s="10" t="inlineStr">
        <is>
          <t>Institución</t>
        </is>
      </c>
      <c r="E1" s="10" t="inlineStr">
        <is>
          <t>Fecha inicio</t>
        </is>
      </c>
      <c r="F1" s="10" t="inlineStr">
        <is>
          <t>Fecha fin</t>
        </is>
      </c>
      <c r="G1" s="10" t="inlineStr">
        <is>
          <t>Vigencia (años)</t>
        </is>
      </c>
      <c r="H1" s="10" t="inlineStr">
        <is>
          <t>Estado</t>
        </is>
      </c>
      <c r="I1" s="10" t="inlineStr">
        <is>
          <t>Tipo</t>
        </is>
      </c>
      <c r="J1" s="10" t="inlineStr">
        <is>
          <t>Denominación</t>
        </is>
      </c>
      <c r="K1" s="10" t="inlineStr">
        <is>
          <t>Objeto</t>
        </is>
      </c>
    </row>
    <row r="2">
      <c r="A2" s="11" t="inlineStr">
        <is>
          <t>C-2023-39</t>
        </is>
      </c>
      <c r="B2" s="11" t="inlineStr">
        <is>
          <t>Nacional</t>
        </is>
      </c>
      <c r="C2" s="11" t="inlineStr">
        <is>
          <t>Colombia Otros Organismos</t>
        </is>
      </c>
      <c r="D2" s="11" t="inlineStr">
        <is>
          <t>Ministerio de Minas y Energía</t>
        </is>
      </c>
      <c r="E2" s="14" t="n">
        <v>45260</v>
      </c>
      <c r="F2" s="14" t="n">
        <v>46352</v>
      </c>
      <c r="G2" s="11" t="n">
        <v>3</v>
      </c>
      <c r="H2" s="11" t="inlineStr">
        <is>
          <t>Vigente</t>
        </is>
      </c>
      <c r="I2" s="11" t="inlineStr">
        <is>
          <t>Convenio Marco</t>
        </is>
      </c>
      <c r="J2" s="11" t="inlineStr">
        <is>
          <t>Cooperación</t>
        </is>
      </c>
      <c r="K2" s="11" t="inlineStr">
        <is>
          <t>Aunar esfuerzos técnicos, administrativos y académicos entre la Universidad Distrital Francisco José de Caldas y el Ministerio de Minas y Energía para adelantar procesos de formación; investigación y extensión, así como el desarrollo de eventos académicos, científicos y tecnológicos que conduzcan al fortalecimiento de las capacidades a cargo de cada una de las partes para el cumplimiento de sus funciones misionales</t>
        </is>
      </c>
    </row>
  </sheetData>
  <autoFilter ref="A1:K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2026-09-23T15:49:05Z</dcterms:created>
  <dcterms:modified xmlns:dcterms="http://purl.org/dc/terms/" xmlns:xsi="http://www.w3.org/2001/XMLSchema-instance" xsi:type="dcterms:W3CDTF">2026-09-23T15:49:05Z</dcterms:modified>
</cp:coreProperties>
</file>